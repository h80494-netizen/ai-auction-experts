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llll\Documents\두인경매\바이브코딩\data\"/>
    </mc:Choice>
  </mc:AlternateContent>
  <xr:revisionPtr revIDLastSave="0" documentId="13_ncr:1_{82225A35-61B7-4DA0-867B-C16FF7AB0FB3}" xr6:coauthVersionLast="47" xr6:coauthVersionMax="47" xr10:uidLastSave="{00000000-0000-0000-0000-000000000000}"/>
  <bookViews>
    <workbookView xWindow="30" yWindow="30" windowWidth="20460" windowHeight="11490" xr2:uid="{8FF4E1FD-A060-405A-8A76-F442486B72E0}"/>
  </bookViews>
  <sheets>
    <sheet name="거래사례" sheetId="2" r:id="rId1"/>
    <sheet name="Sheet1" sheetId="1" r:id="rId2"/>
  </sheets>
  <functionGroups builtInGroupCount="19"/>
  <externalReferences>
    <externalReference r:id="rId3"/>
  </externalReferences>
  <definedNames>
    <definedName name="_xlnm._FilterDatabase" localSheetId="1" hidden="1">Sheet1!$A$1:$AM$1291</definedName>
    <definedName name="_xlpm.cvc" hidden="1" xlm="1">#NAME?</definedName>
    <definedName name="_xlpm.data" hidden="1" xlm="1">#NAME?</definedName>
    <definedName name="_xlpm.Lat" hidden="1" xlm="1">#NAME?</definedName>
    <definedName name="_xlpm.Long" hidden="1" xlm="1">#NAME?</definedName>
    <definedName name="_xlpm.X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14" i="2" l="1"/>
  <c r="AR8" i="1"/>
  <c r="AR9" i="1"/>
  <c r="AR16" i="1"/>
  <c r="AR19" i="1"/>
  <c r="AR22" i="1"/>
  <c r="AR25" i="1"/>
  <c r="AR27" i="1"/>
  <c r="AR28" i="1"/>
  <c r="AR29" i="1"/>
  <c r="AR31" i="1"/>
  <c r="AR32" i="1"/>
  <c r="AR34" i="1"/>
  <c r="AR38" i="1"/>
  <c r="AR39" i="1"/>
  <c r="AR41" i="1"/>
  <c r="AR43" i="1"/>
  <c r="AR44" i="1"/>
  <c r="AR46" i="1"/>
  <c r="AR48" i="1"/>
  <c r="AR51" i="1"/>
  <c r="AR52" i="1"/>
  <c r="AR53" i="1"/>
  <c r="AR54" i="1"/>
  <c r="AR55" i="1"/>
  <c r="AR59" i="1"/>
  <c r="AR62" i="1"/>
  <c r="AR64" i="1"/>
  <c r="AR69" i="1"/>
  <c r="AR70" i="1"/>
  <c r="AR71" i="1"/>
  <c r="AR78" i="1"/>
  <c r="AR79" i="1"/>
  <c r="AR86" i="1"/>
  <c r="AR89" i="1"/>
  <c r="AR90" i="1"/>
  <c r="AR91" i="1"/>
  <c r="AR92" i="1"/>
  <c r="AR93" i="1"/>
  <c r="AR94" i="1"/>
  <c r="AR101" i="1"/>
  <c r="AR104" i="1"/>
  <c r="AR105" i="1"/>
  <c r="AR107" i="1"/>
  <c r="AR108" i="1"/>
  <c r="AR109" i="1"/>
  <c r="AR117" i="1"/>
  <c r="AR119" i="1"/>
  <c r="AR120" i="1"/>
  <c r="AR133" i="1"/>
  <c r="AR136" i="1"/>
  <c r="AR137" i="1"/>
  <c r="AR138" i="1"/>
  <c r="AR139" i="1"/>
  <c r="AR140" i="1"/>
  <c r="AR144" i="1"/>
  <c r="AR145" i="1"/>
  <c r="AR148" i="1"/>
  <c r="AR150" i="1"/>
  <c r="AR151" i="1"/>
  <c r="AR152" i="1"/>
  <c r="AR153" i="1"/>
  <c r="AR155" i="1"/>
  <c r="AR157" i="1"/>
  <c r="AR162" i="1"/>
  <c r="AR163" i="1"/>
  <c r="AR165" i="1"/>
  <c r="AR167" i="1"/>
  <c r="AR168" i="1"/>
  <c r="AR169" i="1"/>
  <c r="AR171" i="1"/>
  <c r="AR172" i="1"/>
  <c r="AR177" i="1"/>
  <c r="AR178" i="1"/>
  <c r="AR179" i="1"/>
  <c r="AR180" i="1"/>
  <c r="AR183" i="1"/>
  <c r="AR184" i="1"/>
  <c r="AR196" i="1"/>
  <c r="AR203" i="1"/>
  <c r="AR211" i="1"/>
  <c r="AR217" i="1"/>
  <c r="AR218" i="1"/>
  <c r="AR219" i="1"/>
  <c r="AR220" i="1"/>
  <c r="AR224" i="1"/>
  <c r="AR227" i="1"/>
  <c r="AR228" i="1"/>
  <c r="AR229" i="1"/>
  <c r="AR230" i="1"/>
  <c r="AR231" i="1"/>
  <c r="AR237" i="1"/>
  <c r="AR238" i="1"/>
  <c r="AR239" i="1"/>
  <c r="AR242" i="1"/>
  <c r="AR244" i="1"/>
  <c r="AR246" i="1"/>
  <c r="AR247" i="1"/>
  <c r="AR248" i="1"/>
  <c r="AR249" i="1"/>
  <c r="AR253" i="1"/>
  <c r="AR254" i="1"/>
  <c r="AR264" i="1"/>
  <c r="AR266" i="1"/>
  <c r="AR267" i="1"/>
  <c r="AR268" i="1"/>
  <c r="AR269" i="1"/>
  <c r="AR270" i="1"/>
  <c r="AR271" i="1"/>
  <c r="AR274" i="1"/>
  <c r="AR278" i="1"/>
  <c r="AR279" i="1"/>
  <c r="AR281" i="1"/>
  <c r="AR282" i="1"/>
  <c r="AR283" i="1"/>
  <c r="AR284" i="1"/>
  <c r="AR285" i="1"/>
  <c r="AR286" i="1"/>
  <c r="AR288" i="1"/>
  <c r="AR289" i="1"/>
  <c r="AR290" i="1"/>
  <c r="AR291" i="1"/>
  <c r="AR295" i="1"/>
  <c r="AR299" i="1"/>
  <c r="AR300" i="1"/>
  <c r="AR301" i="1"/>
  <c r="AR308" i="1"/>
  <c r="AR309" i="1"/>
  <c r="AR321" i="1"/>
  <c r="AR322" i="1"/>
  <c r="AR323" i="1"/>
  <c r="AR324" i="1"/>
  <c r="AR328" i="1"/>
  <c r="AR331" i="1"/>
  <c r="AR332" i="1"/>
  <c r="AR333" i="1"/>
  <c r="AR338" i="1"/>
  <c r="AR339" i="1"/>
  <c r="AR340" i="1"/>
  <c r="AR341" i="1"/>
  <c r="AR344" i="1"/>
  <c r="AR345" i="1"/>
  <c r="AR346" i="1"/>
  <c r="AR358" i="1"/>
  <c r="AR374" i="1"/>
  <c r="AR375" i="1"/>
  <c r="AR376" i="1"/>
  <c r="AR378" i="1"/>
  <c r="AR379" i="1"/>
  <c r="AR380" i="1"/>
  <c r="AR381" i="1"/>
  <c r="AR385" i="1"/>
  <c r="AR386" i="1"/>
  <c r="AR387" i="1"/>
  <c r="AR390" i="1"/>
  <c r="AR392" i="1"/>
  <c r="AR398" i="1"/>
  <c r="AR406" i="1"/>
  <c r="AR407" i="1"/>
  <c r="AR418" i="1"/>
  <c r="AR419" i="1"/>
  <c r="AR422" i="1"/>
  <c r="AR423" i="1"/>
  <c r="AR424" i="1"/>
  <c r="AR426" i="1"/>
  <c r="AR427" i="1"/>
  <c r="AR435" i="1"/>
  <c r="AR442" i="1"/>
  <c r="AR443" i="1"/>
  <c r="AR445" i="1"/>
  <c r="AR446" i="1"/>
  <c r="AR447" i="1"/>
  <c r="AR451" i="1"/>
  <c r="AR454" i="1"/>
  <c r="AQ8" i="1"/>
  <c r="AQ9" i="1"/>
  <c r="AQ16" i="1"/>
  <c r="AQ19" i="1"/>
  <c r="AQ22" i="1"/>
  <c r="AQ25" i="1"/>
  <c r="AQ27" i="1"/>
  <c r="AQ28" i="1"/>
  <c r="AQ29" i="1"/>
  <c r="AQ31" i="1"/>
  <c r="AQ32" i="1"/>
  <c r="AQ34" i="1"/>
  <c r="AQ38" i="1"/>
  <c r="AQ39" i="1"/>
  <c r="AQ41" i="1"/>
  <c r="AQ43" i="1"/>
  <c r="AQ44" i="1"/>
  <c r="AQ46" i="1"/>
  <c r="AQ48" i="1"/>
  <c r="AQ51" i="1"/>
  <c r="AQ52" i="1"/>
  <c r="AQ53" i="1"/>
  <c r="AQ54" i="1"/>
  <c r="AQ55" i="1"/>
  <c r="AQ59" i="1"/>
  <c r="AQ62" i="1"/>
  <c r="AQ64" i="1"/>
  <c r="AQ69" i="1"/>
  <c r="AQ70" i="1"/>
  <c r="AQ71" i="1"/>
  <c r="AQ78" i="1"/>
  <c r="AQ79" i="1"/>
  <c r="AQ86" i="1"/>
  <c r="AQ89" i="1"/>
  <c r="AQ90" i="1"/>
  <c r="AQ91" i="1"/>
  <c r="AQ92" i="1"/>
  <c r="AQ93" i="1"/>
  <c r="AQ94" i="1"/>
  <c r="AQ101" i="1"/>
  <c r="AQ104" i="1"/>
  <c r="AQ105" i="1"/>
  <c r="AQ107" i="1"/>
  <c r="AQ108" i="1"/>
  <c r="AQ109" i="1"/>
  <c r="AQ117" i="1"/>
  <c r="AQ119" i="1"/>
  <c r="AQ120" i="1"/>
  <c r="AQ133" i="1"/>
  <c r="AQ136" i="1"/>
  <c r="AQ137" i="1"/>
  <c r="AQ138" i="1"/>
  <c r="AQ139" i="1"/>
  <c r="AQ140" i="1"/>
  <c r="AQ144" i="1"/>
  <c r="AQ145" i="1"/>
  <c r="AQ148" i="1"/>
  <c r="AQ150" i="1"/>
  <c r="AQ151" i="1"/>
  <c r="AQ152" i="1"/>
  <c r="AQ153" i="1"/>
  <c r="AQ155" i="1"/>
  <c r="AQ157" i="1"/>
  <c r="AQ162" i="1"/>
  <c r="AQ163" i="1"/>
  <c r="AQ165" i="1"/>
  <c r="AQ167" i="1"/>
  <c r="AQ168" i="1"/>
  <c r="AQ169" i="1"/>
  <c r="AQ171" i="1"/>
  <c r="AQ172" i="1"/>
  <c r="AQ177" i="1"/>
  <c r="AQ178" i="1"/>
  <c r="AQ179" i="1"/>
  <c r="AQ180" i="1"/>
  <c r="AQ183" i="1"/>
  <c r="AQ184" i="1"/>
  <c r="AQ196" i="1"/>
  <c r="AQ203" i="1"/>
  <c r="AQ211" i="1"/>
  <c r="AQ217" i="1"/>
  <c r="AQ218" i="1"/>
  <c r="AQ219" i="1"/>
  <c r="AQ220" i="1"/>
  <c r="AQ224" i="1"/>
  <c r="AQ227" i="1"/>
  <c r="AQ228" i="1"/>
  <c r="AQ229" i="1"/>
  <c r="AQ230" i="1"/>
  <c r="AQ231" i="1"/>
  <c r="AQ237" i="1"/>
  <c r="AQ238" i="1"/>
  <c r="AQ239" i="1"/>
  <c r="AQ242" i="1"/>
  <c r="AQ244" i="1"/>
  <c r="AQ246" i="1"/>
  <c r="AQ247" i="1"/>
  <c r="AQ248" i="1"/>
  <c r="AQ249" i="1"/>
  <c r="AQ253" i="1"/>
  <c r="AQ254" i="1"/>
  <c r="AQ264" i="1"/>
  <c r="AQ266" i="1"/>
  <c r="AQ267" i="1"/>
  <c r="AQ268" i="1"/>
  <c r="AQ269" i="1"/>
  <c r="AQ270" i="1"/>
  <c r="AQ271" i="1"/>
  <c r="AQ274" i="1"/>
  <c r="AQ278" i="1"/>
  <c r="AQ279" i="1"/>
  <c r="AQ281" i="1"/>
  <c r="AQ282" i="1"/>
  <c r="AQ283" i="1"/>
  <c r="AQ284" i="1"/>
  <c r="AQ285" i="1"/>
  <c r="AQ286" i="1"/>
  <c r="AQ288" i="1"/>
  <c r="AQ289" i="1"/>
  <c r="AQ290" i="1"/>
  <c r="AQ291" i="1"/>
  <c r="AQ295" i="1"/>
  <c r="AQ299" i="1"/>
  <c r="AQ300" i="1"/>
  <c r="AQ301" i="1"/>
  <c r="AQ308" i="1"/>
  <c r="AQ309" i="1"/>
  <c r="AQ321" i="1"/>
  <c r="AQ322" i="1"/>
  <c r="AQ323" i="1"/>
  <c r="AQ324" i="1"/>
  <c r="AQ328" i="1"/>
  <c r="AQ331" i="1"/>
  <c r="AQ332" i="1"/>
  <c r="AQ333" i="1"/>
  <c r="AQ338" i="1"/>
  <c r="AQ339" i="1"/>
  <c r="AQ340" i="1"/>
  <c r="AQ341" i="1"/>
  <c r="AQ344" i="1"/>
  <c r="AQ345" i="1"/>
  <c r="AQ346" i="1"/>
  <c r="AQ358" i="1"/>
  <c r="AQ374" i="1"/>
  <c r="AQ375" i="1"/>
  <c r="AQ376" i="1"/>
  <c r="AQ378" i="1"/>
  <c r="AQ379" i="1"/>
  <c r="AQ380" i="1"/>
  <c r="AQ381" i="1"/>
  <c r="AQ385" i="1"/>
  <c r="AQ386" i="1"/>
  <c r="AQ387" i="1"/>
  <c r="AQ390" i="1"/>
  <c r="AQ392" i="1"/>
  <c r="AQ398" i="1"/>
  <c r="AQ406" i="1"/>
  <c r="AQ407" i="1"/>
  <c r="AQ418" i="1"/>
  <c r="AQ419" i="1"/>
  <c r="AQ422" i="1"/>
  <c r="AQ423" i="1"/>
  <c r="AQ424" i="1"/>
  <c r="AQ426" i="1"/>
  <c r="AQ427" i="1"/>
  <c r="AQ435" i="1"/>
  <c r="AQ442" i="1"/>
  <c r="AQ443" i="1"/>
  <c r="AQ445" i="1"/>
  <c r="AQ446" i="1"/>
  <c r="AQ447" i="1"/>
  <c r="AQ451" i="1"/>
  <c r="AQ454" i="1"/>
  <c r="AP25" i="1"/>
  <c r="AP34" i="1"/>
  <c r="AP46" i="1"/>
  <c r="AP55" i="1"/>
  <c r="AP71" i="1"/>
  <c r="AP91" i="1"/>
  <c r="AP105" i="1"/>
  <c r="AP120" i="1"/>
  <c r="AP140" i="1"/>
  <c r="AP152" i="1"/>
  <c r="AP157" i="1"/>
  <c r="AP165" i="1"/>
  <c r="AP177" i="1"/>
  <c r="AP180" i="1"/>
  <c r="AP196" i="1"/>
  <c r="AP220" i="1"/>
  <c r="AP231" i="1"/>
  <c r="AP246" i="1"/>
  <c r="AP264" i="1"/>
  <c r="AP268" i="1"/>
  <c r="AP271" i="1"/>
  <c r="AP283" i="1"/>
  <c r="AP290" i="1"/>
  <c r="AP308" i="1"/>
  <c r="AP328" i="1"/>
  <c r="AP340" i="1"/>
  <c r="AP374" i="1"/>
  <c r="AP381" i="1"/>
  <c r="AP387" i="1"/>
  <c r="AP398" i="1"/>
  <c r="AP423" i="1"/>
  <c r="AP427" i="1"/>
  <c r="AP443" i="1"/>
  <c r="AO8" i="1"/>
  <c r="AO9" i="1"/>
  <c r="AO16" i="1"/>
  <c r="AP16" i="1" s="1"/>
  <c r="AO19" i="1"/>
  <c r="AO22" i="1"/>
  <c r="AO25" i="1"/>
  <c r="AO27" i="1"/>
  <c r="AO28" i="1"/>
  <c r="AO29" i="1"/>
  <c r="AP29" i="1" s="1"/>
  <c r="AO31" i="1"/>
  <c r="AO32" i="1"/>
  <c r="AO34" i="1"/>
  <c r="AO38" i="1"/>
  <c r="AO39" i="1"/>
  <c r="AO41" i="1"/>
  <c r="AP41" i="1" s="1"/>
  <c r="AO43" i="1"/>
  <c r="AO44" i="1"/>
  <c r="AO46" i="1"/>
  <c r="AO48" i="1"/>
  <c r="AO51" i="1"/>
  <c r="AO52" i="1"/>
  <c r="AP52" i="1" s="1"/>
  <c r="AO53" i="1"/>
  <c r="AO54" i="1"/>
  <c r="AO55" i="1"/>
  <c r="AO59" i="1"/>
  <c r="AO62" i="1"/>
  <c r="AO64" i="1"/>
  <c r="AP64" i="1" s="1"/>
  <c r="AO69" i="1"/>
  <c r="AO70" i="1"/>
  <c r="AO71" i="1"/>
  <c r="AO78" i="1"/>
  <c r="AO79" i="1"/>
  <c r="AO86" i="1"/>
  <c r="AP86" i="1" s="1"/>
  <c r="AO89" i="1"/>
  <c r="AO90" i="1"/>
  <c r="AO91" i="1"/>
  <c r="AO92" i="1"/>
  <c r="AO93" i="1"/>
  <c r="AO94" i="1"/>
  <c r="AP94" i="1" s="1"/>
  <c r="AO101" i="1"/>
  <c r="AO104" i="1"/>
  <c r="AO105" i="1"/>
  <c r="AO107" i="1"/>
  <c r="AO108" i="1"/>
  <c r="AO109" i="1"/>
  <c r="AP109" i="1" s="1"/>
  <c r="AO117" i="1"/>
  <c r="AO119" i="1"/>
  <c r="AO120" i="1"/>
  <c r="AO133" i="1"/>
  <c r="AO136" i="1"/>
  <c r="AO137" i="1"/>
  <c r="AP137" i="1" s="1"/>
  <c r="AO138" i="1"/>
  <c r="AO139" i="1"/>
  <c r="AO140" i="1"/>
  <c r="AO144" i="1"/>
  <c r="AO145" i="1"/>
  <c r="AO148" i="1"/>
  <c r="AP148" i="1" s="1"/>
  <c r="AO150" i="1"/>
  <c r="AO151" i="1"/>
  <c r="AO152" i="1"/>
  <c r="AO153" i="1"/>
  <c r="AO155" i="1"/>
  <c r="AO157" i="1"/>
  <c r="AO162" i="1"/>
  <c r="AO163" i="1"/>
  <c r="AO165" i="1"/>
  <c r="AO167" i="1"/>
  <c r="AO168" i="1"/>
  <c r="AO169" i="1"/>
  <c r="AP169" i="1" s="1"/>
  <c r="AO171" i="1"/>
  <c r="AO172" i="1"/>
  <c r="AO177" i="1"/>
  <c r="AO178" i="1"/>
  <c r="AO179" i="1"/>
  <c r="AO180" i="1"/>
  <c r="AO183" i="1"/>
  <c r="AO184" i="1"/>
  <c r="AO196" i="1"/>
  <c r="AO203" i="1"/>
  <c r="AO211" i="1"/>
  <c r="AO217" i="1"/>
  <c r="AP217" i="1" s="1"/>
  <c r="AO218" i="1"/>
  <c r="AO219" i="1"/>
  <c r="AO220" i="1"/>
  <c r="AO224" i="1"/>
  <c r="AO227" i="1"/>
  <c r="AO228" i="1"/>
  <c r="AP228" i="1" s="1"/>
  <c r="AO229" i="1"/>
  <c r="AO230" i="1"/>
  <c r="AO231" i="1"/>
  <c r="AO237" i="1"/>
  <c r="AO238" i="1"/>
  <c r="AO239" i="1"/>
  <c r="AP239" i="1" s="1"/>
  <c r="AO242" i="1"/>
  <c r="AO244" i="1"/>
  <c r="AO246" i="1"/>
  <c r="AO247" i="1"/>
  <c r="AO248" i="1"/>
  <c r="AO249" i="1"/>
  <c r="AP249" i="1" s="1"/>
  <c r="AO253" i="1"/>
  <c r="AO254" i="1"/>
  <c r="AO264" i="1"/>
  <c r="AO266" i="1"/>
  <c r="AO267" i="1"/>
  <c r="AO268" i="1"/>
  <c r="AO269" i="1"/>
  <c r="AO270" i="1"/>
  <c r="AO271" i="1"/>
  <c r="AO274" i="1"/>
  <c r="AO278" i="1"/>
  <c r="AO279" i="1"/>
  <c r="AP279" i="1" s="1"/>
  <c r="AO281" i="1"/>
  <c r="AO282" i="1"/>
  <c r="AO283" i="1"/>
  <c r="AO284" i="1"/>
  <c r="AO285" i="1"/>
  <c r="AO286" i="1"/>
  <c r="AP286" i="1" s="1"/>
  <c r="AO288" i="1"/>
  <c r="AO289" i="1"/>
  <c r="AO290" i="1"/>
  <c r="AO291" i="1"/>
  <c r="AO295" i="1"/>
  <c r="AO299" i="1"/>
  <c r="AP299" i="1" s="1"/>
  <c r="AO300" i="1"/>
  <c r="AO301" i="1"/>
  <c r="AO308" i="1"/>
  <c r="AO309" i="1"/>
  <c r="AO321" i="1"/>
  <c r="AO322" i="1"/>
  <c r="AP322" i="1" s="1"/>
  <c r="AO323" i="1"/>
  <c r="AO324" i="1"/>
  <c r="AO328" i="1"/>
  <c r="AO331" i="1"/>
  <c r="AO332" i="1"/>
  <c r="AO333" i="1"/>
  <c r="AP333" i="1" s="1"/>
  <c r="AO338" i="1"/>
  <c r="AO339" i="1"/>
  <c r="AO340" i="1"/>
  <c r="AO341" i="1"/>
  <c r="AO344" i="1"/>
  <c r="AO345" i="1"/>
  <c r="AP345" i="1" s="1"/>
  <c r="AO346" i="1"/>
  <c r="AO358" i="1"/>
  <c r="AO374" i="1"/>
  <c r="AO375" i="1"/>
  <c r="AO376" i="1"/>
  <c r="AO378" i="1"/>
  <c r="AP378" i="1" s="1"/>
  <c r="AO379" i="1"/>
  <c r="AO380" i="1"/>
  <c r="AO381" i="1"/>
  <c r="AO385" i="1"/>
  <c r="AO386" i="1"/>
  <c r="AO387" i="1"/>
  <c r="AO390" i="1"/>
  <c r="AO392" i="1"/>
  <c r="AO398" i="1"/>
  <c r="AO406" i="1"/>
  <c r="AO407" i="1"/>
  <c r="AO418" i="1"/>
  <c r="AP418" i="1" s="1"/>
  <c r="AO419" i="1"/>
  <c r="AO422" i="1"/>
  <c r="AO423" i="1"/>
  <c r="AO424" i="1"/>
  <c r="AO426" i="1"/>
  <c r="AO427" i="1"/>
  <c r="AO435" i="1"/>
  <c r="AO442" i="1"/>
  <c r="AO443" i="1"/>
  <c r="AO445" i="1"/>
  <c r="AO446" i="1"/>
  <c r="AO447" i="1"/>
  <c r="AP447" i="1" s="1"/>
  <c r="AO451" i="1"/>
  <c r="AO454" i="1"/>
  <c r="AN8" i="1"/>
  <c r="AN9" i="1"/>
  <c r="AP9" i="1" s="1"/>
  <c r="AN16" i="1"/>
  <c r="AN19" i="1"/>
  <c r="AN22" i="1"/>
  <c r="AP22" i="1" s="1"/>
  <c r="AN25" i="1"/>
  <c r="AN27" i="1"/>
  <c r="AN28" i="1"/>
  <c r="AP28" i="1" s="1"/>
  <c r="AN29" i="1"/>
  <c r="AN31" i="1"/>
  <c r="AN32" i="1"/>
  <c r="AP32" i="1" s="1"/>
  <c r="AN34" i="1"/>
  <c r="AN38" i="1"/>
  <c r="AN39" i="1"/>
  <c r="AP39" i="1" s="1"/>
  <c r="AN41" i="1"/>
  <c r="AN43" i="1"/>
  <c r="AP43" i="1" s="1"/>
  <c r="AN44" i="1"/>
  <c r="AP44" i="1" s="1"/>
  <c r="AN46" i="1"/>
  <c r="AN48" i="1"/>
  <c r="AP48" i="1" s="1"/>
  <c r="AN51" i="1"/>
  <c r="AP51" i="1" s="1"/>
  <c r="AN52" i="1"/>
  <c r="AN53" i="1"/>
  <c r="AN54" i="1"/>
  <c r="AP54" i="1" s="1"/>
  <c r="AN55" i="1"/>
  <c r="AN59" i="1"/>
  <c r="AN62" i="1"/>
  <c r="AP62" i="1" s="1"/>
  <c r="AN64" i="1"/>
  <c r="AN69" i="1"/>
  <c r="AN70" i="1"/>
  <c r="AP70" i="1" s="1"/>
  <c r="AN71" i="1"/>
  <c r="AN78" i="1"/>
  <c r="AN79" i="1"/>
  <c r="AP79" i="1" s="1"/>
  <c r="AN86" i="1"/>
  <c r="AN89" i="1"/>
  <c r="AN90" i="1"/>
  <c r="AP90" i="1" s="1"/>
  <c r="AN91" i="1"/>
  <c r="AN92" i="1"/>
  <c r="AN93" i="1"/>
  <c r="AP93" i="1" s="1"/>
  <c r="AN94" i="1"/>
  <c r="AN101" i="1"/>
  <c r="AN104" i="1"/>
  <c r="AP104" i="1" s="1"/>
  <c r="AN105" i="1"/>
  <c r="AN107" i="1"/>
  <c r="AN108" i="1"/>
  <c r="AP108" i="1" s="1"/>
  <c r="AN109" i="1"/>
  <c r="AN117" i="1"/>
  <c r="AN119" i="1"/>
  <c r="AP119" i="1" s="1"/>
  <c r="AN120" i="1"/>
  <c r="AN133" i="1"/>
  <c r="AN136" i="1"/>
  <c r="AP136" i="1" s="1"/>
  <c r="AN137" i="1"/>
  <c r="AN138" i="1"/>
  <c r="AN139" i="1"/>
  <c r="AP139" i="1" s="1"/>
  <c r="AN140" i="1"/>
  <c r="AN144" i="1"/>
  <c r="AN145" i="1"/>
  <c r="AP145" i="1" s="1"/>
  <c r="AN148" i="1"/>
  <c r="AN150" i="1"/>
  <c r="AN151" i="1"/>
  <c r="AP151" i="1" s="1"/>
  <c r="AN152" i="1"/>
  <c r="AN153" i="1"/>
  <c r="AP153" i="1" s="1"/>
  <c r="AN155" i="1"/>
  <c r="AP155" i="1" s="1"/>
  <c r="AN157" i="1"/>
  <c r="AN162" i="1"/>
  <c r="AP162" i="1" s="1"/>
  <c r="AN163" i="1"/>
  <c r="AP163" i="1" s="1"/>
  <c r="AN165" i="1"/>
  <c r="AN167" i="1"/>
  <c r="AN168" i="1"/>
  <c r="AP168" i="1" s="1"/>
  <c r="AN169" i="1"/>
  <c r="AN171" i="1"/>
  <c r="AN172" i="1"/>
  <c r="AP172" i="1" s="1"/>
  <c r="AN177" i="1"/>
  <c r="AN178" i="1"/>
  <c r="AN179" i="1"/>
  <c r="AP179" i="1" s="1"/>
  <c r="AN180" i="1"/>
  <c r="AN183" i="1"/>
  <c r="AP183" i="1" s="1"/>
  <c r="AN184" i="1"/>
  <c r="AP184" i="1" s="1"/>
  <c r="AN196" i="1"/>
  <c r="AN203" i="1"/>
  <c r="AP203" i="1" s="1"/>
  <c r="AN211" i="1"/>
  <c r="AP211" i="1" s="1"/>
  <c r="AN217" i="1"/>
  <c r="AN218" i="1"/>
  <c r="AN219" i="1"/>
  <c r="AP219" i="1" s="1"/>
  <c r="AN220" i="1"/>
  <c r="AN224" i="1"/>
  <c r="AN227" i="1"/>
  <c r="AP227" i="1" s="1"/>
  <c r="AN228" i="1"/>
  <c r="AN229" i="1"/>
  <c r="AN230" i="1"/>
  <c r="AP230" i="1" s="1"/>
  <c r="AN231" i="1"/>
  <c r="AN237" i="1"/>
  <c r="AN238" i="1"/>
  <c r="AP238" i="1" s="1"/>
  <c r="AN239" i="1"/>
  <c r="AN242" i="1"/>
  <c r="AN244" i="1"/>
  <c r="AP244" i="1" s="1"/>
  <c r="AN246" i="1"/>
  <c r="AN247" i="1"/>
  <c r="AP247" i="1" s="1"/>
  <c r="AN248" i="1"/>
  <c r="AP248" i="1" s="1"/>
  <c r="AN249" i="1"/>
  <c r="AN253" i="1"/>
  <c r="AN254" i="1"/>
  <c r="AP254" i="1" s="1"/>
  <c r="AN264" i="1"/>
  <c r="AN266" i="1"/>
  <c r="AP266" i="1" s="1"/>
  <c r="AN267" i="1"/>
  <c r="AP267" i="1" s="1"/>
  <c r="AN268" i="1"/>
  <c r="AN269" i="1"/>
  <c r="AP269" i="1" s="1"/>
  <c r="AN270" i="1"/>
  <c r="AP270" i="1" s="1"/>
  <c r="AN271" i="1"/>
  <c r="AN274" i="1"/>
  <c r="AP274" i="1" s="1"/>
  <c r="AN278" i="1"/>
  <c r="AP278" i="1" s="1"/>
  <c r="AN279" i="1"/>
  <c r="AN281" i="1"/>
  <c r="AN282" i="1"/>
  <c r="AP282" i="1" s="1"/>
  <c r="AN283" i="1"/>
  <c r="AN284" i="1"/>
  <c r="AN285" i="1"/>
  <c r="AP285" i="1" s="1"/>
  <c r="AN286" i="1"/>
  <c r="AN288" i="1"/>
  <c r="AN289" i="1"/>
  <c r="AP289" i="1" s="1"/>
  <c r="AN290" i="1"/>
  <c r="AN291" i="1"/>
  <c r="AN295" i="1"/>
  <c r="AP295" i="1" s="1"/>
  <c r="AN299" i="1"/>
  <c r="AN300" i="1"/>
  <c r="AP300" i="1" s="1"/>
  <c r="AN301" i="1"/>
  <c r="AP301" i="1" s="1"/>
  <c r="AN308" i="1"/>
  <c r="AN309" i="1"/>
  <c r="AN321" i="1"/>
  <c r="AP321" i="1" s="1"/>
  <c r="AN322" i="1"/>
  <c r="AN323" i="1"/>
  <c r="AN324" i="1"/>
  <c r="AP324" i="1" s="1"/>
  <c r="AN328" i="1"/>
  <c r="AN331" i="1"/>
  <c r="AN332" i="1"/>
  <c r="AP332" i="1" s="1"/>
  <c r="AN333" i="1"/>
  <c r="AN338" i="1"/>
  <c r="AN339" i="1"/>
  <c r="AP339" i="1" s="1"/>
  <c r="AN340" i="1"/>
  <c r="AN341" i="1"/>
  <c r="AN344" i="1"/>
  <c r="AP344" i="1" s="1"/>
  <c r="AN345" i="1"/>
  <c r="AN346" i="1"/>
  <c r="AP346" i="1" s="1"/>
  <c r="AN358" i="1"/>
  <c r="AP358" i="1" s="1"/>
  <c r="AN374" i="1"/>
  <c r="AN375" i="1"/>
  <c r="AN376" i="1"/>
  <c r="AP376" i="1" s="1"/>
  <c r="AN378" i="1"/>
  <c r="AN379" i="1"/>
  <c r="AP379" i="1" s="1"/>
  <c r="AN380" i="1"/>
  <c r="AP380" i="1" s="1"/>
  <c r="AN381" i="1"/>
  <c r="AN385" i="1"/>
  <c r="AP385" i="1" s="1"/>
  <c r="AN386" i="1"/>
  <c r="AP386" i="1" s="1"/>
  <c r="AN387" i="1"/>
  <c r="AN390" i="1"/>
  <c r="AN392" i="1"/>
  <c r="AP392" i="1" s="1"/>
  <c r="AN398" i="1"/>
  <c r="AN406" i="1"/>
  <c r="AN407" i="1"/>
  <c r="AP407" i="1" s="1"/>
  <c r="AN418" i="1"/>
  <c r="AN419" i="1"/>
  <c r="AN422" i="1"/>
  <c r="AP422" i="1" s="1"/>
  <c r="AN423" i="1"/>
  <c r="AN424" i="1"/>
  <c r="AP424" i="1" s="1"/>
  <c r="AN426" i="1"/>
  <c r="AP426" i="1" s="1"/>
  <c r="AN427" i="1"/>
  <c r="AN435" i="1"/>
  <c r="AP435" i="1" s="1"/>
  <c r="AN442" i="1"/>
  <c r="AP442" i="1" s="1"/>
  <c r="AN443" i="1"/>
  <c r="AN445" i="1"/>
  <c r="AP445" i="1" s="1"/>
  <c r="AN446" i="1"/>
  <c r="AP446" i="1" s="1"/>
  <c r="AN447" i="1"/>
  <c r="AN451" i="1"/>
  <c r="AN454" i="1"/>
  <c r="AP454" i="1" s="1"/>
  <c r="N18" i="2"/>
  <c r="V18" i="2"/>
  <c r="V17" i="2"/>
  <c r="AP288" i="1" l="1"/>
  <c r="AP242" i="1"/>
  <c r="AP150" i="1"/>
  <c r="AP89" i="1"/>
  <c r="AP53" i="1"/>
  <c r="AP375" i="1"/>
  <c r="AP331" i="1"/>
  <c r="AP291" i="1"/>
  <c r="AP224" i="1"/>
  <c r="AP178" i="1"/>
  <c r="AP133" i="1"/>
  <c r="AP78" i="1"/>
  <c r="AP27" i="1"/>
  <c r="AP451" i="1"/>
  <c r="AP253" i="1"/>
  <c r="AP229" i="1"/>
  <c r="AP101" i="1"/>
  <c r="AP31" i="1"/>
  <c r="AP406" i="1"/>
  <c r="AP341" i="1"/>
  <c r="AP309" i="1"/>
  <c r="AP284" i="1"/>
  <c r="AP237" i="1"/>
  <c r="AP167" i="1"/>
  <c r="AP144" i="1"/>
  <c r="AP107" i="1"/>
  <c r="AP92" i="1"/>
  <c r="AP59" i="1"/>
  <c r="AP38" i="1"/>
  <c r="AP8" i="1"/>
  <c r="AP419" i="1"/>
  <c r="AP323" i="1"/>
  <c r="AP171" i="1"/>
  <c r="AP117" i="1"/>
  <c r="AP390" i="1"/>
  <c r="AP338" i="1"/>
  <c r="AP281" i="1"/>
  <c r="AP218" i="1"/>
  <c r="AP138" i="1"/>
  <c r="AP69" i="1"/>
  <c r="AP19" i="1"/>
  <c r="Y13" i="2" l="1"/>
  <c r="Y12" i="2"/>
  <c r="Y11" i="2"/>
  <c r="Y10" i="2"/>
  <c r="Y9" i="2"/>
  <c r="Y8" i="2"/>
  <c r="Y5" i="2"/>
  <c r="Y4" i="2"/>
  <c r="Y3" i="2"/>
  <c r="Y2" i="2"/>
  <c r="S6" i="2"/>
  <c r="S5" i="2"/>
  <c r="S4" i="2"/>
  <c r="S3" i="2"/>
  <c r="S2" i="2"/>
  <c r="V4" i="2"/>
  <c r="V3" i="2"/>
  <c r="V2" i="2"/>
  <c r="N15" i="2"/>
  <c r="O14" i="2"/>
  <c r="X11" i="2"/>
  <c r="X4" i="2"/>
  <c r="X3" i="2"/>
  <c r="X2" i="2"/>
  <c r="N1" i="2"/>
  <c r="N6" i="2" s="1"/>
  <c r="N13" i="2" s="1"/>
  <c r="O11" i="2" a="1"/>
  <c r="R11" i="2" a="1"/>
  <c r="AS19" i="1" l="1"/>
  <c r="AS31" i="1"/>
  <c r="AS43" i="1"/>
  <c r="AS53" i="1"/>
  <c r="AS69" i="1"/>
  <c r="AS89" i="1"/>
  <c r="AS101" i="1"/>
  <c r="AS117" i="1"/>
  <c r="AS138" i="1"/>
  <c r="AS150" i="1"/>
  <c r="AS162" i="1"/>
  <c r="AS171" i="1"/>
  <c r="AS183" i="1"/>
  <c r="AS218" i="1"/>
  <c r="AS229" i="1"/>
  <c r="AS242" i="1"/>
  <c r="AS253" i="1"/>
  <c r="AS269" i="1"/>
  <c r="AS281" i="1"/>
  <c r="AS288" i="1"/>
  <c r="AS300" i="1"/>
  <c r="AS323" i="1"/>
  <c r="AS338" i="1"/>
  <c r="AS346" i="1"/>
  <c r="AS379" i="1"/>
  <c r="AS390" i="1"/>
  <c r="AS419" i="1"/>
  <c r="AS435" i="1"/>
  <c r="AS451" i="1"/>
  <c r="AS22" i="1"/>
  <c r="AS32" i="1"/>
  <c r="AS44" i="1"/>
  <c r="AS54" i="1"/>
  <c r="AS70" i="1"/>
  <c r="AS90" i="1"/>
  <c r="AS104" i="1"/>
  <c r="AS119" i="1"/>
  <c r="AS139" i="1"/>
  <c r="AS151" i="1"/>
  <c r="AS163" i="1"/>
  <c r="AS172" i="1"/>
  <c r="AS184" i="1"/>
  <c r="AS219" i="1"/>
  <c r="AS230" i="1"/>
  <c r="AS244" i="1"/>
  <c r="AS254" i="1"/>
  <c r="AS270" i="1"/>
  <c r="AS282" i="1"/>
  <c r="AS289" i="1"/>
  <c r="AS301" i="1"/>
  <c r="AS324" i="1"/>
  <c r="AS339" i="1"/>
  <c r="AS358" i="1"/>
  <c r="AS380" i="1"/>
  <c r="AS392" i="1"/>
  <c r="AS8" i="1"/>
  <c r="AS27" i="1"/>
  <c r="AS38" i="1"/>
  <c r="AS48" i="1"/>
  <c r="AS59" i="1"/>
  <c r="AS78" i="1"/>
  <c r="AS92" i="1"/>
  <c r="AS107" i="1"/>
  <c r="AS133" i="1"/>
  <c r="AS144" i="1"/>
  <c r="AS153" i="1"/>
  <c r="AS167" i="1"/>
  <c r="AS178" i="1"/>
  <c r="AS203" i="1"/>
  <c r="AS224" i="1"/>
  <c r="AS237" i="1"/>
  <c r="AS247" i="1"/>
  <c r="AS266" i="1"/>
  <c r="AS274" i="1"/>
  <c r="AS284" i="1"/>
  <c r="AS291" i="1"/>
  <c r="AS309" i="1"/>
  <c r="AS331" i="1"/>
  <c r="AS341" i="1"/>
  <c r="AS375" i="1"/>
  <c r="AS385" i="1"/>
  <c r="AS406" i="1"/>
  <c r="AS424" i="1"/>
  <c r="AS445" i="1"/>
  <c r="AS9" i="1"/>
  <c r="AS28" i="1"/>
  <c r="AS39" i="1"/>
  <c r="AS51" i="1"/>
  <c r="AS62" i="1"/>
  <c r="AS79" i="1"/>
  <c r="AS93" i="1"/>
  <c r="AS108" i="1"/>
  <c r="AS136" i="1"/>
  <c r="AS145" i="1"/>
  <c r="AS155" i="1"/>
  <c r="AS168" i="1"/>
  <c r="AS179" i="1"/>
  <c r="AS211" i="1"/>
  <c r="AS227" i="1"/>
  <c r="AS238" i="1"/>
  <c r="AS248" i="1"/>
  <c r="AS267" i="1"/>
  <c r="AS278" i="1"/>
  <c r="AS285" i="1"/>
  <c r="AS295" i="1"/>
  <c r="AS321" i="1"/>
  <c r="AS332" i="1"/>
  <c r="AS344" i="1"/>
  <c r="AS376" i="1"/>
  <c r="AS386" i="1"/>
  <c r="AS407" i="1"/>
  <c r="AS426" i="1"/>
  <c r="AS446" i="1"/>
  <c r="AS16" i="1"/>
  <c r="AS25" i="1"/>
  <c r="AS55" i="1"/>
  <c r="AS105" i="1"/>
  <c r="AS152" i="1"/>
  <c r="AS196" i="1"/>
  <c r="AS246" i="1"/>
  <c r="AS283" i="1"/>
  <c r="AS328" i="1"/>
  <c r="AS381" i="1"/>
  <c r="AS427" i="1"/>
  <c r="AS29" i="1"/>
  <c r="AS109" i="1"/>
  <c r="AS157" i="1"/>
  <c r="AS217" i="1"/>
  <c r="AS249" i="1"/>
  <c r="AS286" i="1"/>
  <c r="AS333" i="1"/>
  <c r="AS387" i="1"/>
  <c r="AS442" i="1"/>
  <c r="AS64" i="1"/>
  <c r="AS34" i="1"/>
  <c r="AS71" i="1"/>
  <c r="AS120" i="1"/>
  <c r="AS165" i="1"/>
  <c r="AS220" i="1"/>
  <c r="AS264" i="1"/>
  <c r="AS290" i="1"/>
  <c r="AS340" i="1"/>
  <c r="AS398" i="1"/>
  <c r="AS443" i="1"/>
  <c r="AS41" i="1"/>
  <c r="AS86" i="1"/>
  <c r="AS137" i="1"/>
  <c r="AS169" i="1"/>
  <c r="AS228" i="1"/>
  <c r="AS268" i="1"/>
  <c r="AS299" i="1"/>
  <c r="AS345" i="1"/>
  <c r="AS418" i="1"/>
  <c r="AS447" i="1"/>
  <c r="AS52" i="1"/>
  <c r="AS148" i="1"/>
  <c r="AS180" i="1"/>
  <c r="AS239" i="1"/>
  <c r="AS279" i="1"/>
  <c r="AS322" i="1"/>
  <c r="AS378" i="1"/>
  <c r="AS423" i="1"/>
  <c r="AS46" i="1"/>
  <c r="AS91" i="1"/>
  <c r="AS140" i="1"/>
  <c r="AS177" i="1"/>
  <c r="AS231" i="1"/>
  <c r="AS271" i="1"/>
  <c r="AS308" i="1"/>
  <c r="AS374" i="1"/>
  <c r="AS422" i="1"/>
  <c r="AS454" i="1"/>
  <c r="AS94" i="1"/>
  <c r="N17" i="2"/>
  <c r="N16" i="2"/>
  <c r="N9" i="2" s="1"/>
  <c r="O11" i="2"/>
  <c r="R11" i="2"/>
  <c r="O13" i="2"/>
  <c r="N10" i="2" l="1"/>
  <c r="AC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<sst xmlns="http://schemas.openxmlformats.org/spreadsheetml/2006/main" count="8763" uniqueCount="742">
  <si>
    <t>상가</t>
  </si>
  <si>
    <t>해당층</t>
  </si>
  <si>
    <t>주택</t>
  </si>
  <si>
    <t>전체층</t>
  </si>
  <si>
    <t>전용평형</t>
  </si>
  <si>
    <t>경과연수</t>
    <phoneticPr fontId="7" type="noConversion"/>
  </si>
  <si>
    <t>매매가(보증금)</t>
  </si>
  <si>
    <t>경과연수대</t>
  </si>
  <si>
    <t>평수대</t>
  </si>
  <si>
    <t>층수대</t>
  </si>
  <si>
    <t>현재</t>
    <phoneticPr fontId="7" type="noConversion"/>
  </si>
  <si>
    <t>평수</t>
    <phoneticPr fontId="7" type="noConversion"/>
  </si>
  <si>
    <t>주택</t>
    <phoneticPr fontId="7" type="noConversion"/>
  </si>
  <si>
    <t>Input</t>
    <phoneticPr fontId="7" type="noConversion"/>
  </si>
  <si>
    <t>건축년도</t>
    <phoneticPr fontId="7" type="noConversion"/>
  </si>
  <si>
    <t>이내</t>
    <phoneticPr fontId="7" type="noConversion"/>
  </si>
  <si>
    <t>저</t>
    <phoneticPr fontId="7" type="noConversion"/>
  </si>
  <si>
    <t>상가</t>
    <phoneticPr fontId="7" type="noConversion"/>
  </si>
  <si>
    <t>전용평수</t>
    <phoneticPr fontId="7" type="noConversion"/>
  </si>
  <si>
    <t>중</t>
    <phoneticPr fontId="7" type="noConversion"/>
  </si>
  <si>
    <t>해당층</t>
    <phoneticPr fontId="7" type="noConversion"/>
  </si>
  <si>
    <t>이상</t>
    <phoneticPr fontId="7" type="noConversion"/>
  </si>
  <si>
    <t>고</t>
    <phoneticPr fontId="7" type="noConversion"/>
  </si>
  <si>
    <t>전체층수</t>
    <phoneticPr fontId="7" type="noConversion"/>
  </si>
  <si>
    <t>B1</t>
    <phoneticPr fontId="7" type="noConversion"/>
  </si>
  <si>
    <t>만원</t>
    <phoneticPr fontId="7" type="noConversion"/>
  </si>
  <si>
    <t>1층</t>
    <phoneticPr fontId="7" type="noConversion"/>
  </si>
  <si>
    <t>Output</t>
    <phoneticPr fontId="7" type="noConversion"/>
  </si>
  <si>
    <t xml:space="preserve"> 경과연수, 평수, 층수를 그룹핑에 맞게 표준화시킨다.</t>
    <phoneticPr fontId="7" type="noConversion"/>
  </si>
  <si>
    <t>층수</t>
    <phoneticPr fontId="7" type="noConversion"/>
  </si>
  <si>
    <t>평당가격</t>
    <phoneticPr fontId="7" type="noConversion"/>
  </si>
  <si>
    <t>매물건수</t>
    <phoneticPr fontId="7" type="noConversion"/>
  </si>
  <si>
    <t>건</t>
    <phoneticPr fontId="7" type="noConversion"/>
  </si>
  <si>
    <t>평당가</t>
  </si>
  <si>
    <t>주소</t>
  </si>
  <si>
    <t>B1</t>
  </si>
  <si>
    <t>이상</t>
    <phoneticPr fontId="5" type="noConversion"/>
  </si>
  <si>
    <t>주소</t>
    <phoneticPr fontId="5" type="noConversion"/>
  </si>
  <si>
    <t>B2</t>
    <phoneticPr fontId="5" type="noConversion"/>
  </si>
  <si>
    <t>최저가율</t>
    <phoneticPr fontId="5" type="noConversion"/>
  </si>
  <si>
    <t>Ｍ</t>
    <phoneticPr fontId="5" type="noConversion"/>
  </si>
  <si>
    <t>반경</t>
    <phoneticPr fontId="5" type="noConversion"/>
  </si>
  <si>
    <t>거리(m)</t>
  </si>
  <si>
    <t>적용조건</t>
  </si>
  <si>
    <t>B2</t>
  </si>
  <si>
    <t>1층</t>
  </si>
  <si>
    <t>서울 마포구 성암로 지하 184</t>
  </si>
  <si>
    <t>서울 마포구 양화로10길 37</t>
  </si>
  <si>
    <t>서울 마포구 마포대로 86</t>
  </si>
  <si>
    <t>서울 영등포구 양평로 116-1</t>
  </si>
  <si>
    <t>위치보정</t>
    <phoneticPr fontId="5" type="noConversion"/>
  </si>
  <si>
    <t>면</t>
    <phoneticPr fontId="5" type="noConversion"/>
  </si>
  <si>
    <t>도로선</t>
    <phoneticPr fontId="5" type="noConversion"/>
  </si>
  <si>
    <t>개</t>
    <phoneticPr fontId="5" type="noConversion"/>
  </si>
  <si>
    <t>광역도로접면수</t>
    <phoneticPr fontId="5" type="noConversion"/>
  </si>
  <si>
    <t>해당평당가</t>
    <phoneticPr fontId="5" type="noConversion"/>
  </si>
  <si>
    <t>만원</t>
    <phoneticPr fontId="5" type="noConversion"/>
  </si>
  <si>
    <t>B</t>
    <phoneticPr fontId="5" type="noConversion"/>
  </si>
  <si>
    <t>매물번호</t>
  </si>
  <si>
    <t>cortarNo</t>
  </si>
  <si>
    <t>유형</t>
  </si>
  <si>
    <t>상세유형</t>
  </si>
  <si>
    <t>거래유형</t>
  </si>
  <si>
    <t>매물주체</t>
  </si>
  <si>
    <t>층수</t>
  </si>
  <si>
    <t>월세</t>
  </si>
  <si>
    <t>금액</t>
  </si>
  <si>
    <t>공급면적</t>
  </si>
  <si>
    <t>공급평형</t>
  </si>
  <si>
    <t>공급평단가</t>
  </si>
  <si>
    <t>전용면적</t>
  </si>
  <si>
    <t>전용평단가</t>
  </si>
  <si>
    <t>방향</t>
  </si>
  <si>
    <t>확인일자</t>
  </si>
  <si>
    <t>위도</t>
  </si>
  <si>
    <t>경도</t>
  </si>
  <si>
    <t>매물설명</t>
  </si>
  <si>
    <t>보조설명</t>
  </si>
  <si>
    <t>동일매물수</t>
  </si>
  <si>
    <t>최고가</t>
  </si>
  <si>
    <t>최저가</t>
  </si>
  <si>
    <t>등록사이트</t>
  </si>
  <si>
    <t>공인중개사</t>
  </si>
  <si>
    <t>금액1</t>
  </si>
  <si>
    <t>월세1</t>
  </si>
  <si>
    <t>NLINK</t>
  </si>
  <si>
    <t>지하철역</t>
  </si>
  <si>
    <t>노선</t>
  </si>
  <si>
    <t>역거리</t>
  </si>
  <si>
    <t>창고주소</t>
  </si>
  <si>
    <t>창고명</t>
  </si>
  <si>
    <t>점포거리</t>
  </si>
  <si>
    <t>지번</t>
  </si>
  <si>
    <t>일반상가</t>
  </si>
  <si>
    <t>매매</t>
  </si>
  <si>
    <t>DOC</t>
  </si>
  <si>
    <t>남동향</t>
  </si>
  <si>
    <t>벚꽃길 지하 창고겸사무실로 적합한 급매구분상가</t>
  </si>
  <si>
    <t>25년이내,급매,지하층,관리비10만원이하</t>
  </si>
  <si>
    <t>부동산뱅크</t>
  </si>
  <si>
    <t>합정한강공인중개사사무소</t>
  </si>
  <si>
    <t>link</t>
  </si>
  <si>
    <t>망원</t>
  </si>
  <si>
    <t>서울6호선</t>
  </si>
  <si>
    <t>다락</t>
  </si>
  <si>
    <t>없음</t>
  </si>
  <si>
    <t>서울 마포구 합정동 440-10</t>
  </si>
  <si>
    <t>저</t>
  </si>
  <si>
    <t>NDOC1</t>
  </si>
  <si>
    <t>1억 6,000</t>
  </si>
  <si>
    <t>북동향</t>
  </si>
  <si>
    <t>초저가, 원룸형 근린생활시설, 7계단 아래 반지층</t>
  </si>
  <si>
    <t>25년이내,지하층,관리비10만원이하,총5층</t>
  </si>
  <si>
    <t>매경부동산</t>
  </si>
  <si>
    <t>부동산톡공인중개사사무소</t>
  </si>
  <si>
    <t>합정</t>
  </si>
  <si>
    <t>서울2호선,서울6호선</t>
  </si>
  <si>
    <t>서울 마포구 합정동 367-35</t>
  </si>
  <si>
    <t>중</t>
  </si>
  <si>
    <t>NONE</t>
  </si>
  <si>
    <t>2억 2,000</t>
  </si>
  <si>
    <t>북서향</t>
  </si>
  <si>
    <t>성산초 앞 작은 상가 사무소 매매</t>
  </si>
  <si>
    <t>25년이내,지하층,관리비10만원이하,주차가능</t>
  </si>
  <si>
    <t>한국공인중개사협회</t>
  </si>
  <si>
    <t>합정대우공인중개사사무소</t>
  </si>
  <si>
    <t>서울 마포구 합정동 428-56</t>
  </si>
  <si>
    <t>고</t>
  </si>
  <si>
    <t>MOBL</t>
  </si>
  <si>
    <t>1억 5,500</t>
  </si>
  <si>
    <t>급매 합정더블역세권 소형 상가</t>
  </si>
  <si>
    <t>10년이내,급매,지하층,관리비20만원이하</t>
  </si>
  <si>
    <t>롯데공인중개사사무소</t>
  </si>
  <si>
    <t>서울 마포구 합정동 382-20</t>
  </si>
  <si>
    <t>단지내상가</t>
  </si>
  <si>
    <t>OWNER</t>
  </si>
  <si>
    <t>남향</t>
  </si>
  <si>
    <t>급매 스퀘어리버뷰 지하상가</t>
  </si>
  <si>
    <t>10년이내,급매,지하층,주차가능</t>
  </si>
  <si>
    <t>부동산써브</t>
  </si>
  <si>
    <t>한빛공인중개사사무소</t>
  </si>
  <si>
    <t>1억 8,500</t>
  </si>
  <si>
    <t>벚꽃길위치한 실사용추천 소형 사무실 공방 작업실</t>
  </si>
  <si>
    <t>25년이내,중층,관리비10만원이하,총5층</t>
  </si>
  <si>
    <t>15억</t>
  </si>
  <si>
    <t>동향</t>
  </si>
  <si>
    <t>코너에 위치하여 계단 접근성 매우 좋음</t>
  </si>
  <si>
    <t>10년이내,역세권,지상층(1층제외),주차가능</t>
  </si>
  <si>
    <t>한경부동산</t>
  </si>
  <si>
    <t>원빌딩부동산중개(주)</t>
  </si>
  <si>
    <t>서울 마포구 합정동 473</t>
  </si>
  <si>
    <t>7억 1,000</t>
  </si>
  <si>
    <t>무권리 지층상가 합정역 더블역세권 대로변 추천 급매물</t>
  </si>
  <si>
    <t>2억 7,000</t>
  </si>
  <si>
    <t>서향</t>
  </si>
  <si>
    <t>선유도역 대단지아파트상가 사무실 학원 추천 주차가능</t>
  </si>
  <si>
    <t>25년이상,1층,관리비10만원이하,주차가능</t>
  </si>
  <si>
    <t>동원공인중개사사무소</t>
  </si>
  <si>
    <t>선유도</t>
  </si>
  <si>
    <t>서울9호선</t>
  </si>
  <si>
    <t>서울 영등포구 양평동5가 76</t>
  </si>
  <si>
    <t>남서향</t>
  </si>
  <si>
    <t>홍대 정문앞 단지내 소형상가 급매</t>
  </si>
  <si>
    <t>25년이내,1층,급매,관리비20만원이하</t>
  </si>
  <si>
    <t>나눔공인중개사사무소</t>
  </si>
  <si>
    <t>홍대입구</t>
  </si>
  <si>
    <t>서울2호선,경의중앙,공항철도</t>
  </si>
  <si>
    <t>서울 마포구 서교동 486</t>
  </si>
  <si>
    <t>5억</t>
  </si>
  <si>
    <t>급매,합정,망원역 역세권</t>
  </si>
  <si>
    <t>25년이내,급매,중층,관리비10만원이하</t>
  </si>
  <si>
    <t>부동산명가공인</t>
  </si>
  <si>
    <t>서울 마포구 망원동 384-25</t>
  </si>
  <si>
    <t>4억 2,000</t>
  </si>
  <si>
    <t>급매물 입주물건 인테리어 최상급 급매물</t>
  </si>
  <si>
    <t>15년이내,급매,지하층,관리비20만원이하</t>
  </si>
  <si>
    <t>알터</t>
  </si>
  <si>
    <t>현대아이파크공인중개사사무소</t>
  </si>
  <si>
    <t>서울 마포구 서교동 490</t>
  </si>
  <si>
    <t>3억 4,000</t>
  </si>
  <si>
    <t>현재 우수한 임차인 입점으로 안정적으로 월세 받을수 있는 상가</t>
  </si>
  <si>
    <t>25년이내,지하층,주차가능,화재경보기</t>
  </si>
  <si>
    <t>승리공인중개사사무소</t>
  </si>
  <si>
    <t>3억</t>
  </si>
  <si>
    <t>홍대정문 단지내상가  적은금액투자로 연금받아가세요 전문점 입점중</t>
  </si>
  <si>
    <t>25년이내,1층,주차가능,천장에어컨</t>
  </si>
  <si>
    <t>대학공인중개사사무소</t>
  </si>
  <si>
    <t>16억</t>
  </si>
  <si>
    <t>합정역 2,6호선 환승연결통로. 합정역 랜드마크 메세나폴리스 내 매인상가</t>
  </si>
  <si>
    <t>15년이내,지하층,주차가능,총2층</t>
  </si>
  <si>
    <t>큰부자공인중개사사무소</t>
  </si>
  <si>
    <t>3억 3,000</t>
  </si>
  <si>
    <t>홍대정문 메인도로 현재 깨끗한 전문점 운영중으로 대박 상가 매매입니다</t>
  </si>
  <si>
    <t>25년이내,1층,주차가능,남서향</t>
  </si>
  <si>
    <t>망원동 한강인접 성업중 상가</t>
  </si>
  <si>
    <t>4년이내,1층,관리비10만원이하,주차가능</t>
  </si>
  <si>
    <t>엘림공인중개사사무소</t>
  </si>
  <si>
    <t>서울 마포구 망원동 394-109</t>
  </si>
  <si>
    <t>50억</t>
  </si>
  <si>
    <t>초역세권 구분상가 1개층 실180평</t>
  </si>
  <si>
    <t>25년이내,역세권,지하층,주차가능</t>
  </si>
  <si>
    <t>(주)키움부동산중개법인</t>
  </si>
  <si>
    <t>서울 마포구 서교동 394-25</t>
  </si>
  <si>
    <t>4억 5,000</t>
  </si>
  <si>
    <t>합정역 2,6호선 연결된 복합상가</t>
  </si>
  <si>
    <t>15년이내,1층,주차가능,총2층</t>
  </si>
  <si>
    <t>메세나서교공인중개사사무소</t>
  </si>
  <si>
    <t>1억 4,000</t>
  </si>
  <si>
    <t>북향</t>
  </si>
  <si>
    <t>실사용가능 투자도가능해요</t>
  </si>
  <si>
    <t>승리공인중개사</t>
  </si>
  <si>
    <t>복합상가</t>
  </si>
  <si>
    <t>9억</t>
  </si>
  <si>
    <t>전속중개  분양가에서 1억할인해서 드립니다 1층 넓은매장입니다</t>
  </si>
  <si>
    <t>녹번대림공인중개사사무소</t>
  </si>
  <si>
    <t>2억 1,000</t>
  </si>
  <si>
    <t>실사용가능 빠른입주가능</t>
  </si>
  <si>
    <t>25년이상,1층,주차가능,북향</t>
  </si>
  <si>
    <t>아파트단지내상가</t>
  </si>
  <si>
    <t>21억</t>
  </si>
  <si>
    <t>합정동 삼거리 노출좋은 올근생 꼬마빌딩</t>
  </si>
  <si>
    <t>25년이상,1층,총3층,남향</t>
  </si>
  <si>
    <t>산업부동산</t>
  </si>
  <si>
    <t>홍대대박부동산중개사무소</t>
  </si>
  <si>
    <t>서울 마포구 합정동 428-34</t>
  </si>
  <si>
    <t>7억</t>
  </si>
  <si>
    <t>출입구 1층 노출좋은 점포 임차있음</t>
  </si>
  <si>
    <t>어반공인중개사사무소</t>
  </si>
  <si>
    <t>합정역 연결 복합상가</t>
  </si>
  <si>
    <t>11억</t>
  </si>
  <si>
    <t>1종 근생. 자유업 가능. 주차가능</t>
  </si>
  <si>
    <t>거북공인중개사사무소</t>
  </si>
  <si>
    <t>서울 마포구 합정동 398-10</t>
  </si>
  <si>
    <t>YG사옥 인근 신속 통합 후보지 1층 구분 상가</t>
  </si>
  <si>
    <t>태양부동산공인중개사사무소</t>
  </si>
  <si>
    <t>2억 3,000</t>
  </si>
  <si>
    <t>대형아파트단지 상가,사무실 매매</t>
  </si>
  <si>
    <t>선유도역 삼성 공인중개사사무소</t>
  </si>
  <si>
    <t>12억</t>
  </si>
  <si>
    <t>l와우l 서교동 가성비 좋은 2층 구분상가 안정적인 임대수익</t>
  </si>
  <si>
    <t>25년이내,중층,주차가능,총5층</t>
  </si>
  <si>
    <t>WOW공인중개사사무소</t>
  </si>
  <si>
    <t>상수</t>
  </si>
  <si>
    <t>서울 마포구 서교동 403-22</t>
  </si>
  <si>
    <t>NDOC2</t>
  </si>
  <si>
    <t>30억</t>
  </si>
  <si>
    <t>합정역 더블역세권 수익형 상가</t>
  </si>
  <si>
    <t>이실장플러스</t>
  </si>
  <si>
    <t>다온공인중개사사무소</t>
  </si>
  <si>
    <t>8억 4,000</t>
  </si>
  <si>
    <t>합정역세권 구분상가 매매</t>
  </si>
  <si>
    <t>10년이내,1층,주차가능,남서향</t>
  </si>
  <si>
    <t>35억</t>
  </si>
  <si>
    <t>l다열어용l 상수역 도보1분 초역세권 메인상권 올근생 건물매매</t>
  </si>
  <si>
    <t>25년이상,지하층,총2층,서향</t>
  </si>
  <si>
    <t>다열어부동산중개</t>
  </si>
  <si>
    <t>서울 마포구 상수동 145-13</t>
  </si>
  <si>
    <t>5억 3,000</t>
  </si>
  <si>
    <t>소형 구분상가 투자</t>
  </si>
  <si>
    <t>10년이내,1층,주차가능,천장에어컨</t>
  </si>
  <si>
    <t>l홍대아이돌 미노을l푸르지오 소형상가 매매</t>
  </si>
  <si>
    <t>25년이내,지하층,주차가능,남서향</t>
  </si>
  <si>
    <t>우량프랜차이즈 임차중.</t>
  </si>
  <si>
    <t>25년이내,지하층,주차가능,천장에어컨</t>
  </si>
  <si>
    <t>뉴베스트공인중개사 사무소</t>
  </si>
  <si>
    <t>l라온l 사진O 합정역 도보권 수익률3이상 사무실,상가 층고3.5</t>
  </si>
  <si>
    <t>4년이내,지상층(1층제외),주차가능,엘리베이터</t>
  </si>
  <si>
    <t>(주)라온부동산중개법인</t>
  </si>
  <si>
    <t>서울 마포구 서교동 372-8</t>
  </si>
  <si>
    <t>14억</t>
  </si>
  <si>
    <t>실28 활성화된 아케이드상권 공실없는상가 월세안고</t>
  </si>
  <si>
    <t>월드공인중개사사무소</t>
  </si>
  <si>
    <t>서울 마포구 합정동 472</t>
  </si>
  <si>
    <t>5억 2,000</t>
  </si>
  <si>
    <t>노출좋은 1층 통로쪽 전면 넓은 상가</t>
  </si>
  <si>
    <t>80억</t>
  </si>
  <si>
    <t>l다열어용l 레드로드 상상마당 인근 유동많음 패션거리 수익형 건물</t>
  </si>
  <si>
    <t>25년이상,마당,1층,주차가능</t>
  </si>
  <si>
    <t>서울 마포구 서교동 366-4</t>
  </si>
  <si>
    <t>10억</t>
  </si>
  <si>
    <t>2.6호선 합정역 초역세권</t>
  </si>
  <si>
    <t>15년이내,1층,관리비20만원이하,천장에어컨</t>
  </si>
  <si>
    <t>선유마을공인중개사사무소</t>
  </si>
  <si>
    <t xml:space="preserve">l다열어용l 홍대앞 올근생 2023년 리모델링 신축건물 매매 수익형 </t>
  </si>
  <si>
    <t>25년이상,1층,주차가능,총3층</t>
  </si>
  <si>
    <t>서울 마포구 서교동 358-94</t>
  </si>
  <si>
    <t>19억 5,000</t>
  </si>
  <si>
    <t>메세나폴리스 초입 먹거리 메인 상권 매매합니다</t>
  </si>
  <si>
    <t>15년이내,지하층,주차가능,남향</t>
  </si>
  <si>
    <t>피터팬의 좋은방구하기</t>
  </si>
  <si>
    <t>-</t>
  </si>
  <si>
    <t>3억 2,000</t>
  </si>
  <si>
    <t>강변북로 진출입 용이한 신축 1층 사무실 매매</t>
  </si>
  <si>
    <t>2년이내,1층,주차가능,엘리베이터</t>
  </si>
  <si>
    <t>서울 마포구 합정동 461-4</t>
  </si>
  <si>
    <t>합정역 2,6호선 환승연결통로, 햡정역 랜드마크 메세나폴리스 내 매인상가</t>
  </si>
  <si>
    <t>DOCV2</t>
  </si>
  <si>
    <t>6억 5,000</t>
  </si>
  <si>
    <t>15년이내,역세권,1층,주차가능</t>
  </si>
  <si>
    <t>공실클럽</t>
  </si>
  <si>
    <t>생기복덕강남공인중개사사무소</t>
  </si>
  <si>
    <t>서울 마포구 서교동 482-22</t>
  </si>
  <si>
    <t>11억 5,000</t>
  </si>
  <si>
    <t>현 공실이며 매매해서 직접 운영하실분 네고가능</t>
  </si>
  <si>
    <t>8억 5,000</t>
  </si>
  <si>
    <t>매매해서 직접 운영하실 분</t>
  </si>
  <si>
    <t>qp 실입점가능, 합정역연결</t>
  </si>
  <si>
    <t>10년이내,1층,주차가능,관리비30만원이하</t>
  </si>
  <si>
    <t>팰리스공인중개사사무소</t>
  </si>
  <si>
    <t>13억</t>
  </si>
  <si>
    <t>합정역세권 대로 이면 신축 2층 전면 통유리 상가 매매, 실사용 추천</t>
  </si>
  <si>
    <t>4년이내,지상층(1층제외),주차가능,북동향</t>
  </si>
  <si>
    <t>우리집부동산</t>
  </si>
  <si>
    <t>힘찬부동산중개법인</t>
  </si>
  <si>
    <t>주인직접 메세나단지 상가 합정 초역세권 지하철 연결됨 임대잘되는 상가</t>
  </si>
  <si>
    <t>15년이내,지하층,주차가능,동향</t>
  </si>
  <si>
    <t>부자촌공인중개사사무소</t>
  </si>
  <si>
    <t>15억 5,000</t>
  </si>
  <si>
    <t>안정적 임대수익 보장, 수요 넘치는 상권</t>
  </si>
  <si>
    <t>15년이내,1층,주차가능,남동향</t>
  </si>
  <si>
    <t>바른공인중개사사무소</t>
  </si>
  <si>
    <t>임대수익용 합정역1층상가,세안고매매은행임대중,안정적인수익률</t>
  </si>
  <si>
    <t>NEXUS부동산공인중개사사무소</t>
  </si>
  <si>
    <t>5억 4,000</t>
  </si>
  <si>
    <t>RISE 메세나폴리스몰 9P 지하층 투자 임차</t>
  </si>
  <si>
    <t>(주)라이즈부동산중개법인</t>
  </si>
  <si>
    <t>6억 2,000</t>
  </si>
  <si>
    <t>GATE 망원역역세권 신축급건물 풍부한 임대수요</t>
  </si>
  <si>
    <t>부동산포스</t>
  </si>
  <si>
    <t>게이트공인중개사사무소</t>
  </si>
  <si>
    <t>서울 마포구 합정동 434-42</t>
  </si>
  <si>
    <t>5억 8,000</t>
  </si>
  <si>
    <t>l홍대아이돌 미노을l유동풍부 도로 이면 푸르지오 상가 매매</t>
  </si>
  <si>
    <t>25년이내,1층,주차가능,서향</t>
  </si>
  <si>
    <t>48억</t>
  </si>
  <si>
    <t>합정 상권  정북방향 도로 접한 코너 입지의 건물 매매</t>
  </si>
  <si>
    <t>25년이상,1층,총2층,북향</t>
  </si>
  <si>
    <t>ABC공인중개사사무소</t>
  </si>
  <si>
    <t>서울 마포구 서교동 400-23</t>
  </si>
  <si>
    <t>4억 8,000</t>
  </si>
  <si>
    <t>전면이 넓어 광고효과 좋음</t>
  </si>
  <si>
    <t>10년이내,1층,주차가능,총4층</t>
  </si>
  <si>
    <t>대림일등공인중개사사무소</t>
  </si>
  <si>
    <t>서울 마포구 망원동 396-4</t>
  </si>
  <si>
    <t>38억</t>
  </si>
  <si>
    <t>6억</t>
  </si>
  <si>
    <t xml:space="preserve">합정역세권 효성해링턴타워 1층 상가 급매 </t>
  </si>
  <si>
    <t>10년이내,1층,급매,관리비20만원이하</t>
  </si>
  <si>
    <t>서울 마포구 서교동 494</t>
  </si>
  <si>
    <t>20억</t>
  </si>
  <si>
    <t>10년이내,1층,주차가능,북동향</t>
  </si>
  <si>
    <t>12억 4,000</t>
  </si>
  <si>
    <t>투자강추,급매. 다목적1층 대로변 상가.합정전철역50미터,효성헤링턴타</t>
  </si>
  <si>
    <t>문찬호부동산공인중개사사무소</t>
  </si>
  <si>
    <t>10억 5,000</t>
  </si>
  <si>
    <t>2호선 6호선 연결 상가 핵심 입지</t>
  </si>
  <si>
    <t>4.2프로수익률, 메세나폴리스 위치좋은상가</t>
  </si>
  <si>
    <t>이춘란공인중개사사무소</t>
  </si>
  <si>
    <t>3억 2,500</t>
  </si>
  <si>
    <t>GATE 합정역 망원역 도보권 임차승계 조건 임대수요 풍부</t>
  </si>
  <si>
    <t>서울 마포구 합정동 441-37</t>
  </si>
  <si>
    <t>57억</t>
  </si>
  <si>
    <t xml:space="preserve">대기업 제분회사에서 10년 이상 사용중인 상가 합정역 더블역세권 </t>
  </si>
  <si>
    <t>15년이내,지하층,주차가능,총3층</t>
  </si>
  <si>
    <t>주식회사플러스부동산중개법인</t>
  </si>
  <si>
    <t>136억</t>
  </si>
  <si>
    <t>l다열어용l 홍대정문 대로변 유동많음 가시성 개방감 최고 리모델링건물매매</t>
  </si>
  <si>
    <t>25년이상,1층,주차가능,총2층</t>
  </si>
  <si>
    <t>서울 마포구 서교동 361-23</t>
  </si>
  <si>
    <t>홍대수노래방상권 올근생 건물 매매</t>
  </si>
  <si>
    <t>15년이내,1층,총2층,남향</t>
  </si>
  <si>
    <t>서울 마포구 서교동 366-26</t>
  </si>
  <si>
    <t>8억</t>
  </si>
  <si>
    <t>350 메세나폴리스 몰 합정역 바로 연결되는 길목 위치 상가매물</t>
  </si>
  <si>
    <t>대우미래사랑 2차 단지내 상가 매매</t>
  </si>
  <si>
    <t>25년이내,1층,주차가능,남동향</t>
  </si>
  <si>
    <t>신선유도공인중개사사무소</t>
  </si>
  <si>
    <t>서울 영등포구 양평동5가 92</t>
  </si>
  <si>
    <t>합정역5번출구 초역세권 1층 상가 매매</t>
  </si>
  <si>
    <t>25년이내,역세권,지하층,관리비20만원이하</t>
  </si>
  <si>
    <t>1층 구분상가 매매 합정역 초역세권</t>
  </si>
  <si>
    <t>7억 5,000</t>
  </si>
  <si>
    <t>합정초역세권 청년주택내 수익률 좋은 상가 매매</t>
  </si>
  <si>
    <t>세있음. 실사용가능. 광장메인자리.</t>
  </si>
  <si>
    <t>15년이내,지하층,주차가능,엘리베이터</t>
  </si>
  <si>
    <t>23억</t>
  </si>
  <si>
    <t>더블역세권 수익형 상가</t>
  </si>
  <si>
    <t>전용 20, 대로변 횡당보도 앞 가시성 굿, 합정역 초역세권</t>
  </si>
  <si>
    <t>10년이내,지상층(1층제외),주차가능,엘리베이터</t>
  </si>
  <si>
    <t>강남역we부동산공인중개사사무소</t>
  </si>
  <si>
    <t>신통추진구역 내 1층 근린사무실 매매</t>
  </si>
  <si>
    <t>25년이상,1층,총2층,서향</t>
  </si>
  <si>
    <t>서울 마포구 합정동 451-8</t>
  </si>
  <si>
    <t>합정 신통후보지역 내 구분등기 근생매물</t>
  </si>
  <si>
    <t>2호선과6호선 출구초입,복합소핑몰, 높은임대료 310만,유명브랜드입점</t>
  </si>
  <si>
    <t>15년이내,지하층,관리비20만원이하,주차가능</t>
  </si>
  <si>
    <t>자이공인중개사사무소</t>
  </si>
  <si>
    <t>7억 3,000</t>
  </si>
  <si>
    <t>RISE 메세나폴리스몰 지하 안정적인임차</t>
  </si>
  <si>
    <t>19억 8,000</t>
  </si>
  <si>
    <t>실패 없는 투자의 정석</t>
  </si>
  <si>
    <t>10년이내,역세권,1층,주차가능</t>
  </si>
  <si>
    <t>주식회사 케이에스에셋부동산중개법인</t>
  </si>
  <si>
    <t>45억</t>
  </si>
  <si>
    <t>o라온o 합정역 초역세권 도보1분미만  가시성 접근성 유동 좋은 1층</t>
  </si>
  <si>
    <t>10년이내,1층,관리비20만원이하,주차가능</t>
  </si>
  <si>
    <t>22억</t>
  </si>
  <si>
    <t>더블역세권인 합정역 초메인  1층 구분 상가</t>
  </si>
  <si>
    <t>10년이내,1층,주차가능,북서향</t>
  </si>
  <si>
    <t>2호선 6호선 환승역 1분 초역세권 10만유동인구 자주식주차 삼면코너유리</t>
  </si>
  <si>
    <t>10년이내,1층,주차가능,북향</t>
  </si>
  <si>
    <t>더우리부동산중개법인주식회사</t>
  </si>
  <si>
    <t>46억</t>
  </si>
  <si>
    <t>전용 33, 대로변 코너 횡단보도 앞상가</t>
  </si>
  <si>
    <t>10년이내,1층,주차가능,엘리베이터</t>
  </si>
  <si>
    <t>51억</t>
  </si>
  <si>
    <t>망원 사거리 인근 위치좋은 2개층 상가 건물입니다.</t>
  </si>
  <si>
    <t>25년이상,총2층,남서향</t>
  </si>
  <si>
    <t>한국공인중개사사무소</t>
  </si>
  <si>
    <t>서울 마포구 망원동 394-91</t>
  </si>
  <si>
    <t>3억 5,000</t>
  </si>
  <si>
    <t>사옥가능 및 임대수익형 투자 매물</t>
  </si>
  <si>
    <t>거송공인중개사사무소</t>
  </si>
  <si>
    <t>서울 서대문구 창천동 318</t>
  </si>
  <si>
    <t xml:space="preserve">qp 급매 홍대입구역 연결된 초역세권 상가 투자가치 굿 </t>
  </si>
  <si>
    <t>25년이상,급매,지하층,주차가능</t>
  </si>
  <si>
    <t>서울 마포구 동교동 165-8</t>
  </si>
  <si>
    <t>홍대입구역 전철역 연결된 초역세권 상가, 투자가치 굿  2개호실</t>
  </si>
  <si>
    <t>25년이상,지하층,관리비20만원이하,주차가능</t>
  </si>
  <si>
    <t>홍대하늘공인중개사사무소</t>
  </si>
  <si>
    <t>홍대입구역 지하 연결된 상가</t>
  </si>
  <si>
    <t>25년이상,지하층,주차가능,엘리베이터</t>
  </si>
  <si>
    <t>백년부동산공인중개사사무소</t>
  </si>
  <si>
    <t>급급급매물.신촌최요지.수익율5.6퍼이상</t>
  </si>
  <si>
    <t>25년이내,급매,지하층,주차가능</t>
  </si>
  <si>
    <t>통일현대부동산컨설팅공인중개사사무소</t>
  </si>
  <si>
    <t>신촌</t>
  </si>
  <si>
    <t>서울2호선,경의중앙</t>
  </si>
  <si>
    <t>서울 서대문구 창천동 29-81</t>
  </si>
  <si>
    <t>1억 2,000</t>
  </si>
  <si>
    <t>초 역세권 구분 상가 임대 아주 잘되는 홍대입구역 연결 상가</t>
  </si>
  <si>
    <t>1억 3,000</t>
  </si>
  <si>
    <t>홍대 수익용상가 매매, 현 수익율5.1%</t>
  </si>
  <si>
    <t>바를정공인중개사사무소</t>
  </si>
  <si>
    <t>4억</t>
  </si>
  <si>
    <t>연남동 구분상가,사무실</t>
  </si>
  <si>
    <t>25년이내,1층,총5층</t>
  </si>
  <si>
    <t>홍대대림공인중개사사무소</t>
  </si>
  <si>
    <t>서울 마포구 연남동 562-48</t>
  </si>
  <si>
    <t>신촌역세권 대형오피스텔상가3층 엘베앞</t>
  </si>
  <si>
    <t>25년이상,지상층(1층제외),주차가능,엘리베이터</t>
  </si>
  <si>
    <t>신촌에이스공인중개사사무소</t>
  </si>
  <si>
    <t>서울 마포구 노고산동 57-18</t>
  </si>
  <si>
    <t>2호선 신촌 지하철역 가까운 상가, 사무실입니다.</t>
  </si>
  <si>
    <t>신촌예스부동산공인중개사사무소</t>
  </si>
  <si>
    <t>신촌역2호선 도보30초대로변 대형오피스텔1층 상가 급매</t>
  </si>
  <si>
    <t>25년이상,1층,급매,관리비20만원이하</t>
  </si>
  <si>
    <t>18억</t>
  </si>
  <si>
    <t>대로변 구분상가 매매 , 홍대입구 도보권 ,투자용</t>
  </si>
  <si>
    <t>25년이내,중층,주차가능,서향</t>
  </si>
  <si>
    <t>한화1차공인중개사사무소</t>
  </si>
  <si>
    <t>서울 서대문구 창천동 490</t>
  </si>
  <si>
    <t>19억</t>
  </si>
  <si>
    <t>펜트하우스 근생주택겸 사무실신촌역 2호선 도보3분 대로변 전망굿</t>
  </si>
  <si>
    <t>25년이상,고층,주차가능,엘리베이터</t>
  </si>
  <si>
    <t>서울 서대문구 창천동 20-26</t>
  </si>
  <si>
    <t>근생주택(펜트하우스)신촌역 희소가치 최고 투자입주 대로변</t>
  </si>
  <si>
    <t>급매 가성비 좋은 홍대입구역 연결 지하 상가</t>
  </si>
  <si>
    <t>2억 5,000</t>
  </si>
  <si>
    <t>미래사랑1층 고정적인 월세수익용 단지내상가 매매</t>
  </si>
  <si>
    <t>25년이내,1층,주차가능,엘리베이터</t>
  </si>
  <si>
    <t>굿모닝공인중개사무소</t>
  </si>
  <si>
    <t>서울 마포구 서교동 487</t>
  </si>
  <si>
    <t>신축상가 깔끔한소형상가  투자하기 최고  실입주 가능</t>
  </si>
  <si>
    <t>10년이내,중층,관리비10만원이하,주차가능</t>
  </si>
  <si>
    <t>서강대</t>
  </si>
  <si>
    <t>경의중앙</t>
  </si>
  <si>
    <t>서울 마포구 동교동 185-7</t>
  </si>
  <si>
    <t>쌍용예가 단지내상가, 광흥창역세권, 풍부한 유동인구, 학세권</t>
  </si>
  <si>
    <t>25년이내,고층,관리비20만원이하,주차가능</t>
  </si>
  <si>
    <t>예가공인중개사사무소</t>
  </si>
  <si>
    <t>광흥창(서강)</t>
  </si>
  <si>
    <t>서울 마포구 창전동 444</t>
  </si>
  <si>
    <t>12억 9,000</t>
  </si>
  <si>
    <t xml:space="preserve">신촌역 코앞 대로변 노출 굿 </t>
  </si>
  <si>
    <t>25년이내,지상층(1층제외),주차가능,엘리베이터</t>
  </si>
  <si>
    <t>신촌프라임공인중개사사무소</t>
  </si>
  <si>
    <t>서울 마포구 노고산동 57-26</t>
  </si>
  <si>
    <t>럭키 Y 상가 매매 Y 서교동 주상복합 Y 오피스 주거 복합상권</t>
  </si>
  <si>
    <t>25년이내,1층,주차가능,북동향</t>
  </si>
  <si>
    <t>럭키공인중개사사무소</t>
  </si>
  <si>
    <t>수익성과 투자가치성을 모두 만족시키는 상가점포입지가 너무 좋아요</t>
  </si>
  <si>
    <t>퍼스트공인중개사사무소</t>
  </si>
  <si>
    <t>수익형상가 수익률좋아요 그리고 입지가 홍대와 매우 가까워요</t>
  </si>
  <si>
    <t>25년이내,1층,주차가능,북서향</t>
  </si>
  <si>
    <t>GATE 서교동 대우미래사랑아파트 수익률 좋은 1층 상가 매매</t>
  </si>
  <si>
    <t>노출좋은 아파트단지주통행로 안정적수익 오피스라인상가 주차O</t>
  </si>
  <si>
    <t>25년이내,1층,관리비10만원이하,주차가능</t>
  </si>
  <si>
    <t>미래사랑공인중개사사무소</t>
  </si>
  <si>
    <t>단지내 광고잘되는 자리,전용15p,마을버스앞,광흥창역도보3분</t>
  </si>
  <si>
    <t>행운(322-5000)공인중개사사무소</t>
  </si>
  <si>
    <t>단지내상가,사무실겸용,마을버스정류장앞.</t>
  </si>
  <si>
    <t>박사공인중개사사무소</t>
  </si>
  <si>
    <t>5억 2,100</t>
  </si>
  <si>
    <t>신촌역4번출구에서 2분이내 거리에 있는 대로변에 잇는 상가점포</t>
  </si>
  <si>
    <t>금성공인중개사사무소</t>
  </si>
  <si>
    <t>수익률 좋은 홍대입구역 연결 지하 상가입니다</t>
  </si>
  <si>
    <t>4억 3,000</t>
  </si>
  <si>
    <t>RAON 망원역 역세권 . 알짜배기 1층 구분상가 . 수익률 4퍼</t>
  </si>
  <si>
    <t>10년이내,1층,주차가능,총5층</t>
  </si>
  <si>
    <t>서울 마포구 서교동 474-23</t>
  </si>
  <si>
    <t>망원역 인근 l 안정적인 수익형 상가 매매 l</t>
  </si>
  <si>
    <t>다이아공인중개사사무소</t>
  </si>
  <si>
    <t>3억 9,000</t>
  </si>
  <si>
    <t>신촌역 초역세권 유동인구 최다 대도로변창문 르5차 다용도강추</t>
  </si>
  <si>
    <t>25년이내,주차가능,엘리베이터,남동향</t>
  </si>
  <si>
    <t>12억 2,000</t>
  </si>
  <si>
    <t>홍대주상복합1층상가매매 안정적인임대수익</t>
  </si>
  <si>
    <t>9억 5,000</t>
  </si>
  <si>
    <t>qp 홍대입구역 연결된 초역세권 상가  세안고 매매</t>
  </si>
  <si>
    <t>유동인구 최고 많은 홍대역9번출구 바로보이는 최고상권 지하상가</t>
  </si>
  <si>
    <t>홍대입구역 9번출구 연결 임대 잘되는 지하상가</t>
  </si>
  <si>
    <t>대단지 후면상가로  현재성업중이며 수익을 원하는 분</t>
  </si>
  <si>
    <t>신촌숲아이파크스마일공인중개사사무소</t>
  </si>
  <si>
    <t>서울 마포구 신수동 462</t>
  </si>
  <si>
    <t xml:space="preserve">수익율 좋은 신축아파트 단지내 상가 </t>
  </si>
  <si>
    <t>10년이내,역세권,1층,관리비20만원이하</t>
  </si>
  <si>
    <t>터와인 공인중개사사무소</t>
  </si>
  <si>
    <t>5억 5,000</t>
  </si>
  <si>
    <t>신촌역 명물길 상권 리모델링 준신축 카페 매매</t>
  </si>
  <si>
    <t>25년이상,총3층,북서향</t>
  </si>
  <si>
    <t>주식회사 위더스리얼티부동산중개법인</t>
  </si>
  <si>
    <t>서울 서대문구 창천동 5-41</t>
  </si>
  <si>
    <t>4억 9,500</t>
  </si>
  <si>
    <t>12 투자 I 입주  대단지상가로 교습소 맛사지샵 생필품소매점</t>
  </si>
  <si>
    <t>10년이내,1층,관리비10만원이하,주차가능</t>
  </si>
  <si>
    <t>임차인 성업 중으로 월세수입 보장, 1천세대 단지내 상가</t>
  </si>
  <si>
    <t>10년이내,지하층,관리비20만원이하,주차가능</t>
  </si>
  <si>
    <t>신촌숲현대공인중개사사무소</t>
  </si>
  <si>
    <t>경의선숲길.서강대역인근 뻥뷰, 개발호재있어요</t>
  </si>
  <si>
    <t>10년이내,1층,주차가능,총2층</t>
  </si>
  <si>
    <t>마포자이2차공인중개사사무소</t>
  </si>
  <si>
    <t>서울 마포구 신수동 81-93</t>
  </si>
  <si>
    <t>단지내 상가 33.21제곱미터  넓습니다. 교육관련 업종 추천 합니다.</t>
  </si>
  <si>
    <t>25년이상,1층,관리비20만원이하,주차가능</t>
  </si>
  <si>
    <t>마포숲아이파크공인중개사사무소</t>
  </si>
  <si>
    <t>서울 마포구 신수동 450</t>
  </si>
  <si>
    <t>노출 좋은 상가 입지 탁월한 아파트 단지내 상가</t>
  </si>
  <si>
    <t>25년이내,1층,관리비20만원이하,주차가능</t>
  </si>
  <si>
    <t>서울 서대문구 창천동 72-22</t>
  </si>
  <si>
    <t>아파트배후지1층상가,네모반듯,앞뒤문 노출좋음,현재임대중,광흥창역세권</t>
  </si>
  <si>
    <t>25년이내,1층,관리비10만원이하,남향</t>
  </si>
  <si>
    <t>자타(713-9100)공인중개사사무소</t>
  </si>
  <si>
    <t>서울 마포구 신수동 453</t>
  </si>
  <si>
    <t>광흥창역 초역세권 아파트단지내 상가, 무인점포 성업중, 노출좋은 코너자리</t>
  </si>
  <si>
    <t>25년이내,1층,관리비10만원이하,북향</t>
  </si>
  <si>
    <t>l홍대아이돌 미노을l미로길 입지 우수한 올근생 수익형 건물 매매</t>
  </si>
  <si>
    <t>25년이상,총3층,남향</t>
  </si>
  <si>
    <t>서울 마포구 연남동 382-23</t>
  </si>
  <si>
    <t>8억 3,000</t>
  </si>
  <si>
    <t>1층 상가 매매, 유동인구 많음, 급매물</t>
  </si>
  <si>
    <t>25년이내,1층,급매,주차가능</t>
  </si>
  <si>
    <t>홍대부동산중개공인중개사사무소</t>
  </si>
  <si>
    <t>서울 마포구 서교동 344-6</t>
  </si>
  <si>
    <t>7억 2,000</t>
  </si>
  <si>
    <t>현 임차인 성업중, 대로변 전면에 위치하고 있어 가시성 좋은 상가.</t>
  </si>
  <si>
    <t>제일(단지내02-323-0300)신촌숲아이파크공인중개사</t>
  </si>
  <si>
    <t>신촌숲 전면넓고 시인성 뛰어난 상가로 투자매수 추천함</t>
  </si>
  <si>
    <t xml:space="preserve">현재 커피숍 운영중 </t>
  </si>
  <si>
    <t>10년이내,테라스,1층,관리비10만원이하</t>
  </si>
  <si>
    <t>호박공인중개사사무소</t>
  </si>
  <si>
    <t>서울 마포구 연남동 564-25</t>
  </si>
  <si>
    <t>홍대입구 3번출구와 바로연결된 오피스텔 상가</t>
  </si>
  <si>
    <t>25년이내,지상층(1층제외),주차가능,북서향</t>
  </si>
  <si>
    <t>홍익인간부동산중개사무소</t>
  </si>
  <si>
    <t>서울 마포구 동교동 155-27</t>
  </si>
  <si>
    <t>7억 7,000</t>
  </si>
  <si>
    <t>광흥창역 인접 대로변, 풍부한 유동인구, 광고효과 최상, 임대수익 굿</t>
  </si>
  <si>
    <t>SU 6호선광흥창역세권 아파트단지 대로변  풍부한유동인구 금액조정가능</t>
  </si>
  <si>
    <t>수(711-8925)공인중개사사무소</t>
  </si>
  <si>
    <t>7억 8,000</t>
  </si>
  <si>
    <t>대로변 버스정류장 앞 노출성 좋은 상가. 광흥창초역세권. 최고의 위치.</t>
  </si>
  <si>
    <t>대산공인중개사사무소</t>
  </si>
  <si>
    <t xml:space="preserve">아파트 단지내상가  </t>
  </si>
  <si>
    <t>25년이내,1층,주차가능,총3층</t>
  </si>
  <si>
    <t>우리부동산공인중개사사무소</t>
  </si>
  <si>
    <t>서울 마포구 창전동 439</t>
  </si>
  <si>
    <t>신축급 대단지 전면 1층 상가 강추, 대로변 광고효과 최상</t>
  </si>
  <si>
    <t>신촌숲아이파크 단지내 상가, 대로변 입지, 노출효과 좋음, 현재 성업중</t>
  </si>
  <si>
    <t>마포자이퀸(706-2223)단지내공인중개사사무소</t>
  </si>
  <si>
    <t>아파트단지1층대로변 접근성좋은전면노출상가</t>
  </si>
  <si>
    <t>10년이내,1층,주차가능</t>
  </si>
  <si>
    <t>스타공인중개사사무소</t>
  </si>
  <si>
    <t>임대 낀 매매 I 현재 성업중 I 전용11P</t>
  </si>
  <si>
    <t>10년이내,1층,주차가능,서향</t>
  </si>
  <si>
    <t>하나공인중개사사무소</t>
  </si>
  <si>
    <t>대단지전면상가로 베이커리 배달업 부동산 유통점 다양한 용도추천</t>
  </si>
  <si>
    <t>대단지 전면상가 노출 좋음. 현 성업중</t>
  </si>
  <si>
    <t>10년이내,1층,관리비20만원이하,서향</t>
  </si>
  <si>
    <t>나솜(단지내02-706-4774)공인중개사사무소</t>
  </si>
  <si>
    <t>환하고 반듯한 신축급아파트단지내상가,월세안고나 입주됨,트리플역세권</t>
  </si>
  <si>
    <t>벽과 바닥상태굿,신축급,대로변노출 접근편리,앞뒤출입문,광흥창역세권</t>
  </si>
  <si>
    <t>광흥창역 초역세권, 풍부한 유동인구, 우수한 임대수익, 최상의 광고효과</t>
  </si>
  <si>
    <t>25년이내,1층,주차가능,총2층</t>
  </si>
  <si>
    <t>유동인구 많은 초역세권 광흥창역 상가,  안정적인 임대수익</t>
  </si>
  <si>
    <t>대우부동산공인중개사사무소</t>
  </si>
  <si>
    <t>광흥창역 초역세권 대로변 버스정류장앞 노출성 좋은 1층 상가</t>
  </si>
  <si>
    <t>연남동 숲길 수익률좋은 상가 추천합니다.</t>
  </si>
  <si>
    <t>15년이내,1층,주차가능,천장에어컨</t>
  </si>
  <si>
    <t>빌드윅스부동산공인중개사사무소</t>
  </si>
  <si>
    <t>서울 마포구 연남동 504-7</t>
  </si>
  <si>
    <t>광흥창 초역세권, 유동인구 많음, 대로변, 동향.</t>
  </si>
  <si>
    <t>60억</t>
  </si>
  <si>
    <t xml:space="preserve">l다열어용l 망원역 도보7분 넓은마당 주차가능 단독주택형 매매 올근생  </t>
  </si>
  <si>
    <t>서울 마포구 서교동 469-19</t>
  </si>
  <si>
    <t>홍대상권 주차5대와 통건물</t>
  </si>
  <si>
    <t>25년이상,주차가능,총2층,남향</t>
  </si>
  <si>
    <t>박사부동산중개</t>
  </si>
  <si>
    <t>서울 마포구 서교동 446-12</t>
  </si>
  <si>
    <t>58억</t>
  </si>
  <si>
    <t>홍대 상권 수익률 좋은 통건물 매매</t>
  </si>
  <si>
    <t>15년이내,주차가능,총5층,남서향</t>
  </si>
  <si>
    <t>엠앤제이부동산중개법인주식회사</t>
  </si>
  <si>
    <t>서울 마포구 서교동 336-21</t>
  </si>
  <si>
    <t>29억</t>
  </si>
  <si>
    <t>.완벽한입지 사옥추천 경의선 숲길뷰, 노출 최상,</t>
  </si>
  <si>
    <t>25년이상,1층,북동향</t>
  </si>
  <si>
    <t>선방</t>
  </si>
  <si>
    <t>어반부동산중개법인</t>
  </si>
  <si>
    <t>서울 마포구 신수동 88-55</t>
  </si>
  <si>
    <t>60억 7,500</t>
  </si>
  <si>
    <t>o라온o명도가능 리모델링 통해 가치 빌드업 소유자 소통중 원만한 조율0</t>
  </si>
  <si>
    <t>25년이상,총2층,남향</t>
  </si>
  <si>
    <t>서울 마포구 서교동 336-15</t>
  </si>
  <si>
    <t>37억 4,000</t>
  </si>
  <si>
    <t>홍대최고메인라인</t>
  </si>
  <si>
    <t>25년이상,1층,주차가능,남향</t>
  </si>
  <si>
    <t>명동부동산공인중개사사무소</t>
  </si>
  <si>
    <t>85억</t>
  </si>
  <si>
    <t>신촌역 10초도로변 대형오피스텔1층 특A급입지</t>
  </si>
  <si>
    <t xml:space="preserve">홍대앞 귀한 1층 상가. 안정적 임대수익 노출최고  현성업중상가 </t>
  </si>
  <si>
    <t>240억</t>
  </si>
  <si>
    <t>o라온o홍대입구역도보 0분 랜드마크 옆 핵심입지</t>
  </si>
  <si>
    <t>25년이상,총3층,남동향</t>
  </si>
  <si>
    <t>서울 마포구 동교동 166-11</t>
  </si>
  <si>
    <t>25억 5,000</t>
  </si>
  <si>
    <t>통건물매매,1층3층 임차중,2층 공실</t>
  </si>
  <si>
    <t>운양파트너공인중개사사무소</t>
  </si>
  <si>
    <t>서울 마포구 연남동 385-1</t>
  </si>
  <si>
    <t>1억 9,000</t>
  </si>
  <si>
    <t>기존의 모래내시 및 새 입주 아파트 주변입니다.</t>
  </si>
  <si>
    <t>25년이상,1층,총4층,남서향</t>
  </si>
  <si>
    <t>황금알낳는부동산중개사사무소</t>
  </si>
  <si>
    <t>가좌</t>
  </si>
  <si>
    <t>서울 서대문구 남가좌동 150-32</t>
  </si>
  <si>
    <t>경성고등학교인근 시장근교</t>
  </si>
  <si>
    <t>25년이내,1층,주차가능,총5층</t>
  </si>
  <si>
    <t>오복공인중개사사무소</t>
  </si>
  <si>
    <t>서울 마포구 성산동 619-2</t>
  </si>
  <si>
    <t>92억</t>
  </si>
  <si>
    <t>I브리치I 연희동 카페거리  코너입지 대지 넓은 수익형 상가 매매Y</t>
  </si>
  <si>
    <t>25년이상,테라스,마당,고층</t>
  </si>
  <si>
    <t>브리치부동산공인중개사사무소</t>
  </si>
  <si>
    <t>서울 서대문구 연희동 125-11</t>
  </si>
  <si>
    <t>안정적으로 좋은 수익률 나오는 구분상가 매매</t>
  </si>
  <si>
    <t>15년이내,1층,총4층,북향</t>
  </si>
  <si>
    <t>이음공인중개사사무소</t>
  </si>
  <si>
    <t>서울 마포구 연남동 478-15</t>
  </si>
  <si>
    <t>19억 3,000</t>
  </si>
  <si>
    <t>l홍대아이돌 미노을l벚꽃길 화이트톤 리모델링 건물 매매</t>
  </si>
  <si>
    <t>25년이상,1층,총3층,남서향</t>
  </si>
  <si>
    <t>서울 마포구 연남동 240-33</t>
  </si>
  <si>
    <t>32억</t>
  </si>
  <si>
    <t>용도를다향하게사용가능</t>
  </si>
  <si>
    <t>15년이내,고층,주차가능,총2층</t>
  </si>
  <si>
    <t>서울 마포구 연남동 370-1</t>
  </si>
  <si>
    <t>3거리코너 컨디션 좋은 1층 구분상가</t>
  </si>
  <si>
    <t>부동산스타공인중개사사무소</t>
  </si>
  <si>
    <t>서울 마포구 연남동 478-18</t>
  </si>
  <si>
    <t>실사용 가능한 도로변 구분상가 1층</t>
  </si>
  <si>
    <t>이음 공인중개사 사무소</t>
  </si>
  <si>
    <t>서울 마포구 연남동 573</t>
  </si>
  <si>
    <t>55억</t>
  </si>
  <si>
    <t xml:space="preserve">l다열어용l 연남동 카페거리 단독주택형 코너 건물 유동많음 수익형 매매 </t>
  </si>
  <si>
    <t>25년이상,1층,동향</t>
  </si>
  <si>
    <t>서울 마포구 연남동 239-4</t>
  </si>
  <si>
    <t>매가55억서울창서초,경성중,경성고.홍대입구,가좌역</t>
  </si>
  <si>
    <t>25년이상,1층,관리비20만원이하,남동향</t>
  </si>
  <si>
    <t>알림(309-5900)공인중개사사무소</t>
  </si>
  <si>
    <t>최근내외부리모델링함 투자수익률좋음 유동인구많음 실사용도가능</t>
  </si>
  <si>
    <t>25년이상,주차가능,총2층,남동향</t>
  </si>
  <si>
    <t>늘푸른공인중개사사무소</t>
  </si>
  <si>
    <t>서울 마포구 연남동 245-67</t>
  </si>
  <si>
    <t>52억</t>
  </si>
  <si>
    <t>통 급매협의 신축부지.노출좋은 코너.즉시 양도</t>
  </si>
  <si>
    <t>25년이상,테라스,마당,급매</t>
  </si>
  <si>
    <t>상도홈앤부동산공인중개사사무소</t>
  </si>
  <si>
    <t>서울 마포구 연남동 223-88</t>
  </si>
  <si>
    <t>l홍대아이돌 미노을l연희맛로 메인 올근생 신축건물 매매</t>
  </si>
  <si>
    <t>10년이내,지하층,주차가능,총4층</t>
  </si>
  <si>
    <t>서울 서대문구 연희동 133-26</t>
  </si>
  <si>
    <t>단지내상가 주차편리 역세권</t>
  </si>
  <si>
    <t>서울 마포구 신정동 30</t>
  </si>
  <si>
    <t>3억 8,000</t>
  </si>
  <si>
    <t>역세권 고정수익 받기 좋은 매물 단지내상가</t>
  </si>
  <si>
    <t>현대공인중개사사무소</t>
  </si>
  <si>
    <t>서울 마포구 창전동 442</t>
  </si>
  <si>
    <t>급매역세권 주차하기좋고 교통편리한 단지내상가</t>
  </si>
  <si>
    <t>25년이내,1층,급매,관리비10만원이하</t>
  </si>
  <si>
    <t>오벨리스크서강부동산공인중개사사무소</t>
  </si>
  <si>
    <t xml:space="preserve">아파트 단지내 상가 저렴하게 드립니다. </t>
  </si>
  <si>
    <t>대원경남(단지내)공인중개사사무소</t>
  </si>
  <si>
    <t>광흥창역세권 아파트 상가. 모든업종가능. 수익률 좋습니다. 대로변 인근.</t>
  </si>
  <si>
    <t>30 panda, 현황 1층, 단지내상가</t>
  </si>
  <si>
    <t>토토공인중개사사무소</t>
  </si>
  <si>
    <t>서울 마포구 상수동 402</t>
  </si>
  <si>
    <t>30 소유자 직접, 현황 1층, 단지내상가</t>
  </si>
  <si>
    <t>판다공인중개사사무소</t>
  </si>
  <si>
    <t>광흥차 역세권 아파트 단지내 상가 1층  주차가능</t>
  </si>
  <si>
    <t>광흥창역세권 아파트 단지내 상가 1층 노출성굿 주차가능</t>
  </si>
  <si>
    <t>YS 세안고매매 한강변 단지내상가1층 역세권</t>
  </si>
  <si>
    <t>25년이상,관리비10만원이하,주차가능,총3층</t>
  </si>
  <si>
    <t>약속공인중개사사무소</t>
  </si>
  <si>
    <t>단지내 상가, 현 상가 임대중, 협의 입주 가능</t>
  </si>
  <si>
    <t>한강공인중개사사무소</t>
  </si>
  <si>
    <t>아파트 단지내 상가로 월세 안고 매매,시세보다 저렴.</t>
  </si>
  <si>
    <t>한길공인중개사사무소</t>
  </si>
  <si>
    <t>역세권 아파트상가 전면 넓고 밝음 세안고 또는 협의입주도 가능</t>
  </si>
  <si>
    <t>25년이상,역세권,1층,주차가능</t>
  </si>
  <si>
    <t>세종(719-8988)공인중개사사무소</t>
  </si>
  <si>
    <t>급매  단지내 상가이며 주차하기 편리하고 월세받기좋아요</t>
  </si>
  <si>
    <t>25년이상,1층,급매,주차가능</t>
  </si>
  <si>
    <t>광흥창역세권 단지내상가,1층 현성업중</t>
  </si>
  <si>
    <t>원앤탑공인중개사사무소</t>
  </si>
  <si>
    <t>역세권 아파트 단지내 상가로 월세  안고 매매 밝은 코너 상가</t>
  </si>
  <si>
    <t>8억 8,000</t>
  </si>
  <si>
    <t>광흥창역세권 대로변 아파트 상가 매매금액조정가능</t>
  </si>
  <si>
    <t>다부자공인중개사</t>
  </si>
  <si>
    <t>서울 서대문구 창천동 318</t>
    <phoneticPr fontId="5" type="noConversion"/>
  </si>
  <si>
    <t>경과연수=25; 평수=40; 층수=B1; 반경&lt;=10000m</t>
  </si>
  <si>
    <t>최저가</t>
    <phoneticPr fontId="7" type="noConversion"/>
  </si>
  <si>
    <t>탁상감정가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</si>
</sst>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_(&quot;₩&quot;* #,##0.00_);_(&quot;₩&quot;* \(#,##0.00\);_(&quot;₩&quot;* &quot;-&quot;??_);_(@_)"/>
    <numFmt numFmtId="177" formatCode="_(* #,##0_);_(* \(#,##0\);_(* &quot;-&quot;_);_(@_)"/>
    <numFmt numFmtId="178" formatCode="0_ "/>
    <numFmt numFmtId="179" formatCode="0_);[Red]\(0\)"/>
    <numFmt numFmtId="180" formatCode="#,##0_ "/>
    <numFmt numFmtId="181" formatCode="0.000_);[Red]\(0.000\)"/>
    <numFmt numFmtId="182" formatCode="0.000000_);[Red]\(0.000000\)"/>
  </numFmts>
  <fonts count="17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u/>
      <sz val="11"/>
      <color theme="1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000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177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0" fillId="0" borderId="0"/>
    <xf numFmtId="0" fontId="16" fillId="0" borderId="0" applyNumberForma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177" fontId="6" fillId="3" borderId="1" xfId="1" applyFont="1" applyFill="1" applyBorder="1">
      <alignment vertical="center"/>
    </xf>
    <xf numFmtId="177" fontId="6" fillId="3" borderId="1" xfId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9" fontId="6" fillId="4" borderId="1" xfId="2" applyFont="1" applyFill="1" applyBorder="1">
      <alignment vertical="center"/>
    </xf>
    <xf numFmtId="177" fontId="0" fillId="3" borderId="1" xfId="1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7" fontId="0" fillId="0" borderId="1" xfId="1" applyFont="1" applyFill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178" fontId="0" fillId="0" borderId="1" xfId="0" applyNumberFormat="1" applyBorder="1">
      <alignment vertical="center"/>
    </xf>
    <xf numFmtId="177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0" xfId="0" applyNumberFormat="1">
      <alignment vertical="center"/>
    </xf>
    <xf numFmtId="0" fontId="12" fillId="5" borderId="0" xfId="0" applyFont="1" applyFill="1" applyAlignment="1">
      <alignment horizontal="right" wrapText="1"/>
    </xf>
    <xf numFmtId="180" fontId="1" fillId="0" borderId="0" xfId="1" applyNumberFormat="1" applyFont="1">
      <alignment vertical="center"/>
    </xf>
    <xf numFmtId="0" fontId="9" fillId="0" borderId="0" xfId="0" applyFont="1" applyAlignment="1">
      <alignment horizontal="center" vertical="center"/>
    </xf>
    <xf numFmtId="177" fontId="0" fillId="0" borderId="0" xfId="1" applyFont="1" applyAlignment="1">
      <alignment horizontal="center" vertical="center"/>
    </xf>
    <xf numFmtId="178" fontId="0" fillId="0" borderId="0" xfId="0" applyNumberFormat="1">
      <alignment vertical="center"/>
    </xf>
    <xf numFmtId="177" fontId="0" fillId="0" borderId="0" xfId="1" applyFont="1" applyFill="1" applyBorder="1">
      <alignment vertical="center"/>
    </xf>
    <xf numFmtId="177" fontId="0" fillId="0" borderId="0" xfId="1" applyFont="1" applyFill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2" fillId="5" borderId="1" xfId="0" applyFont="1" applyFill="1" applyBorder="1" applyAlignment="1">
      <alignment horizontal="right" wrapText="1"/>
    </xf>
    <xf numFmtId="0" fontId="0" fillId="2" borderId="1" xfId="0" applyFill="1" applyBorder="1">
      <alignment vertical="center"/>
    </xf>
    <xf numFmtId="0" fontId="0" fillId="0" borderId="3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13" fillId="0" borderId="0" xfId="3" applyFont="1" applyAlignment="1">
      <alignment vertical="top"/>
    </xf>
    <xf numFmtId="181" fontId="1" fillId="0" borderId="1" xfId="1" applyNumberFormat="1" applyFont="1" applyBorder="1">
      <alignment vertical="center"/>
    </xf>
    <xf numFmtId="182" fontId="1" fillId="0" borderId="1" xfId="0" applyNumberFormat="1" applyFont="1" applyBorder="1">
      <alignment vertical="center"/>
    </xf>
    <xf numFmtId="177" fontId="0" fillId="0" borderId="0" xfId="1" applyFont="1">
      <alignment vertical="center"/>
    </xf>
    <xf numFmtId="0" fontId="14" fillId="2" borderId="1" xfId="0" applyFont="1" applyFill="1" applyBorder="1">
      <alignment vertical="center"/>
    </xf>
    <xf numFmtId="0" fontId="14" fillId="2" borderId="1" xfId="0" applyFont="1" applyFill="1" applyBorder="1" applyAlignment="1">
      <alignment horizontal="center" vertical="center"/>
    </xf>
    <xf numFmtId="177" fontId="14" fillId="2" borderId="0" xfId="1" applyFont="1" applyFill="1" applyBorder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16" fillId="0" borderId="0" xfId="4">
      <alignment vertical="center"/>
    </xf>
    <xf numFmtId="0" fontId="0" fillId="0" borderId="0" xfId="0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176" fontId="0" fillId="0" borderId="4" xfId="0" applyNumberFormat="1" applyBorder="1">
      <alignment vertical="center"/>
    </xf>
    <xf numFmtId="0" fontId="0" fillId="0" borderId="5" xfId="0" applyBorder="1">
      <alignment vertical="center"/>
    </xf>
  </cellXfs>
  <cellStyles count="5">
    <cellStyle name="백분율" xfId="2" builtinId="5"/>
    <cellStyle name="쉼표 [0]" xfId="1" builtinId="6"/>
    <cellStyle name="표준" xfId="0" builtinId="0"/>
    <cellStyle name="표준 2" xfId="3" xr:uid="{DC3F5835-6DDC-4C0B-B093-518E4B29BEB5}"/>
    <cellStyle name="하이퍼링크" xfId="4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24</xdr:row>
          <xdr:rowOff>28575</xdr:rowOff>
        </xdr:from>
        <xdr:to>
          <xdr:col>17</xdr:col>
          <xdr:colOff>866775</xdr:colOff>
          <xdr:row>27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탁상감정가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19</xdr:row>
          <xdr:rowOff>9525</xdr:rowOff>
        </xdr:from>
        <xdr:to>
          <xdr:col>20</xdr:col>
          <xdr:colOff>942975</xdr:colOff>
          <xdr:row>19</xdr:row>
          <xdr:rowOff>200025</xdr:rowOff>
        </xdr:to>
        <xdr:sp macro="" textlink="">
          <xdr:nvSpPr>
            <xdr:cNvPr id="2058" name="cbUseAg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경과연수 적용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20</xdr:row>
          <xdr:rowOff>9525</xdr:rowOff>
        </xdr:from>
        <xdr:to>
          <xdr:col>20</xdr:col>
          <xdr:colOff>942975</xdr:colOff>
          <xdr:row>20</xdr:row>
          <xdr:rowOff>200025</xdr:rowOff>
        </xdr:to>
        <xdr:sp macro="" textlink="">
          <xdr:nvSpPr>
            <xdr:cNvPr id="2059" name="cbUsePyeong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평수 적용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21</xdr:row>
          <xdr:rowOff>9525</xdr:rowOff>
        </xdr:from>
        <xdr:to>
          <xdr:col>20</xdr:col>
          <xdr:colOff>942975</xdr:colOff>
          <xdr:row>21</xdr:row>
          <xdr:rowOff>200025</xdr:rowOff>
        </xdr:to>
        <xdr:sp macro="" textlink="">
          <xdr:nvSpPr>
            <xdr:cNvPr id="2060" name="cbUseFloo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층수 적용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22</xdr:row>
          <xdr:rowOff>9525</xdr:rowOff>
        </xdr:from>
        <xdr:to>
          <xdr:col>20</xdr:col>
          <xdr:colOff>942975</xdr:colOff>
          <xdr:row>22</xdr:row>
          <xdr:rowOff>200025</xdr:rowOff>
        </xdr:to>
        <xdr:sp macro="" textlink="">
          <xdr:nvSpPr>
            <xdr:cNvPr id="2061" name="cbUseRadiu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반경 적용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23</xdr:row>
          <xdr:rowOff>9525</xdr:rowOff>
        </xdr:from>
        <xdr:to>
          <xdr:col>20</xdr:col>
          <xdr:colOff>942975</xdr:colOff>
          <xdr:row>23</xdr:row>
          <xdr:rowOff>200025</xdr:rowOff>
        </xdr:to>
        <xdr:sp macro="" textlink="">
          <xdr:nvSpPr>
            <xdr:cNvPr id="2062" name="cbUseLocAdjust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위치보정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0</xdr:colOff>
          <xdr:row>0</xdr:row>
          <xdr:rowOff>0</xdr:rowOff>
        </xdr:from>
        <xdr:to>
          <xdr:col>48</xdr:col>
          <xdr:colOff>628650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카카오맵 연결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O\AppData\Roaming\Microsoft\AddIns\DuTool%20-%20KakaoAddress%20&#54632;&#49688;%20v2.0.0.xlam" TargetMode="External"/><Relationship Id="rId1" Type="http://schemas.openxmlformats.org/officeDocument/2006/relationships/externalLinkPath" Target="/Users/PRO/AppData/Roaming/Microsoft/AddIns/DuTool%20-%20KakaoAddress%20&#54632;&#49688;%20v2.0.0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DuTool - KakaoAddress 함수 v2.0"/>
    </sheetNames>
    <definedNames>
      <definedName name="kakaoAddress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p.kakao.com/?q=%EF%BB%BF%EC%84%9C%EC%9A%B8%20%EB%A7%88%ED%8F%AC%EA%B5%AC%20%EB%8F%99%EA%B5%90%EB%8F%99%20185-7" TargetMode="External"/><Relationship Id="rId299" Type="http://schemas.openxmlformats.org/officeDocument/2006/relationships/hyperlink" Target="https://map.kakao.com/?q=%EF%BB%BF%EC%84%9C%EC%9A%B8%20%EB%A7%88%ED%8F%AC%EA%B5%AC%20%ED%95%A9%EC%A0%95%EB%8F%99%20473" TargetMode="External"/><Relationship Id="rId21" Type="http://schemas.openxmlformats.org/officeDocument/2006/relationships/hyperlink" Target="https://map.kakao.com/?q=%EF%BB%BF%EC%84%9C%EC%9A%B8%20%EB%A7%88%ED%8F%AC%EA%B5%AC%20%EB%8F%99%EA%B5%90%EB%8F%99%20165-8" TargetMode="External"/><Relationship Id="rId63" Type="http://schemas.openxmlformats.org/officeDocument/2006/relationships/hyperlink" Target="https://map.kakao.com/?q=%EF%BB%BF%EC%84%9C%EC%9A%B8%20%EB%A7%88%ED%8F%AC%EA%B5%AC%20%EC%84%9C%EA%B5%90%EB%8F%99%20490" TargetMode="External"/><Relationship Id="rId159" Type="http://schemas.openxmlformats.org/officeDocument/2006/relationships/hyperlink" Target="https://map.kakao.com/?q=%EF%BB%BF%EC%84%9C%EC%9A%B8%20%EB%A7%88%ED%8F%AC%EA%B5%AC%20%EC%8B%A0%EC%88%98%EB%8F%99%20450" TargetMode="External"/><Relationship Id="rId324" Type="http://schemas.openxmlformats.org/officeDocument/2006/relationships/hyperlink" Target="https://map.kakao.com/?q=%EF%BB%BF%EC%84%9C%EC%9A%B8%20%EB%A7%88%ED%8F%AC%EA%B5%AC%20%EC%8B%A0%EC%88%98%EB%8F%99%20462" TargetMode="External"/><Relationship Id="rId366" Type="http://schemas.openxmlformats.org/officeDocument/2006/relationships/hyperlink" Target="https://map.kakao.com/?q=%EF%BB%BF%EC%84%9C%EC%9A%B8%20%EB%A7%88%ED%8F%AC%EA%B5%AC%20%EC%B0%BD%EC%A0%84%EB%8F%99%20444" TargetMode="External"/><Relationship Id="rId170" Type="http://schemas.openxmlformats.org/officeDocument/2006/relationships/hyperlink" Target="https://map.kakao.com/?q=%EF%BB%BF%EC%84%9C%EC%9A%B8%20%EB%A7%88%ED%8F%AC%EA%B5%AC%20%EC%84%9C%EA%B5%90%EB%8F%99%20403-22" TargetMode="External"/><Relationship Id="rId226" Type="http://schemas.openxmlformats.org/officeDocument/2006/relationships/hyperlink" Target="https://map.kakao.com/?q=%EF%BB%BF%EC%84%9C%EC%9A%B8%20%EB%A7%88%ED%8F%AC%EA%B5%AC%20%EC%84%9C%EA%B5%90%EB%8F%99%20366-4" TargetMode="External"/><Relationship Id="rId433" Type="http://schemas.openxmlformats.org/officeDocument/2006/relationships/hyperlink" Target="https://map.kakao.com/?q=%EF%BB%BF%EC%84%9C%EC%9A%B8%20%EB%A7%88%ED%8F%AC%EA%B5%AC%20%EC%B0%BD%EC%A0%84%EB%8F%99%20439" TargetMode="External"/><Relationship Id="rId268" Type="http://schemas.openxmlformats.org/officeDocument/2006/relationships/hyperlink" Target="https://map.kakao.com/?q=%EF%BB%BF%EC%84%9C%EC%9A%B8%20%EB%A7%88%ED%8F%AC%EA%B5%AC%20%EC%84%9C%EA%B5%90%EB%8F%99%20372-8" TargetMode="External"/><Relationship Id="rId32" Type="http://schemas.openxmlformats.org/officeDocument/2006/relationships/hyperlink" Target="https://map.kakao.com/?q=%EF%BB%BF%EC%84%9C%EC%9A%B8%20%EB%A7%88%ED%8F%AC%EA%B5%AC%20%ED%95%A9%EC%A0%95%EB%8F%99%20473" TargetMode="External"/><Relationship Id="rId74" Type="http://schemas.openxmlformats.org/officeDocument/2006/relationships/hyperlink" Target="https://map.kakao.com/?q=%EF%BB%BF%EC%84%9C%EC%9A%B8%20%EB%A7%88%ED%8F%AC%EA%B5%AC%20%EC%84%9C%EA%B5%90%EB%8F%99%20394-25" TargetMode="External"/><Relationship Id="rId128" Type="http://schemas.openxmlformats.org/officeDocument/2006/relationships/hyperlink" Target="https://map.kakao.com/?q=%EF%BB%BF%EC%84%9C%EC%9A%B8%20%EB%A7%88%ED%8F%AC%EA%B5%AC%20%EB%8F%99%EA%B5%90%EB%8F%99%20165-8" TargetMode="External"/><Relationship Id="rId335" Type="http://schemas.openxmlformats.org/officeDocument/2006/relationships/hyperlink" Target="https://map.kakao.com/?q=%EF%BB%BF%EC%84%9C%EC%9A%B8%20%EB%A7%88%ED%8F%AC%EA%B5%AC%20%EC%8B%A0%EC%88%98%EB%8F%99%20450" TargetMode="External"/><Relationship Id="rId377" Type="http://schemas.openxmlformats.org/officeDocument/2006/relationships/hyperlink" Target="https://map.kakao.com/?q=%EF%BB%BF%EC%84%9C%EC%9A%B8%20%EB%A7%88%ED%8F%AC%EA%B5%AC%20%EC%84%9C%EA%B5%90%EB%8F%99%20336-21" TargetMode="External"/><Relationship Id="rId5" Type="http://schemas.openxmlformats.org/officeDocument/2006/relationships/hyperlink" Target="https://map.kakao.com/?q=%EF%BB%BF%EC%84%9C%EC%9A%B8%20%EB%A7%88%ED%8F%AC%EA%B5%AC%20%ED%95%A9%EC%A0%95%EB%8F%99%20382-20" TargetMode="External"/><Relationship Id="rId181" Type="http://schemas.openxmlformats.org/officeDocument/2006/relationships/hyperlink" Target="https://map.kakao.com/?q=%EF%BB%BF%EC%84%9C%EC%9A%B8%20%EB%A7%88%ED%8F%AC%EA%B5%AC%20%EC%84%9C%EA%B5%90%EB%8F%99%20344-6" TargetMode="External"/><Relationship Id="rId237" Type="http://schemas.openxmlformats.org/officeDocument/2006/relationships/hyperlink" Target="https://map.kakao.com/?q=%EF%BB%BF%EC%84%9C%EC%9A%B8%20%EB%A7%88%ED%8F%AC%EA%B5%AC%20%EC%84%9C%EA%B5%90%EB%8F%99%20490" TargetMode="External"/><Relationship Id="rId402" Type="http://schemas.openxmlformats.org/officeDocument/2006/relationships/hyperlink" Target="https://map.kakao.com/?q=%EF%BB%BF%EC%84%9C%EC%9A%B8%20%EB%A7%88%ED%8F%AC%EA%B5%AC%20%EC%B0%BD%EC%A0%84%EB%8F%99%20442" TargetMode="External"/><Relationship Id="rId279" Type="http://schemas.openxmlformats.org/officeDocument/2006/relationships/hyperlink" Target="https://map.kakao.com/?q=%EF%BB%BF%EC%84%9C%EC%9A%B8%20%EB%A7%88%ED%8F%AC%EA%B5%AC%20%EC%97%B0%EB%82%A8%EB%8F%99%20504-7" TargetMode="External"/><Relationship Id="rId444" Type="http://schemas.openxmlformats.org/officeDocument/2006/relationships/hyperlink" Target="https://map.kakao.com/?q=%EF%BB%BF%EC%84%9C%EC%9A%B8%20%EB%A7%88%ED%8F%AC%EA%B5%AC%20%EC%84%9C%EA%B5%90%EB%8F%99%20494" TargetMode="External"/><Relationship Id="rId43" Type="http://schemas.openxmlformats.org/officeDocument/2006/relationships/hyperlink" Target="https://map.kakao.com/?q=%EF%BB%BF%EC%84%9C%EC%9A%B8%20%EB%A7%88%ED%8F%AC%EA%B5%AC%20%ED%95%A9%EC%A0%95%EB%8F%99%20473" TargetMode="External"/><Relationship Id="rId139" Type="http://schemas.openxmlformats.org/officeDocument/2006/relationships/hyperlink" Target="https://map.kakao.com/?q=%EF%BB%BF%EC%84%9C%EC%9A%B8%20%EC%84%9C%EB%8C%80%EB%AC%B8%EA%B5%AC%20%EC%B0%BD%EC%B2%9C%EB%8F%99%205-41" TargetMode="External"/><Relationship Id="rId290" Type="http://schemas.openxmlformats.org/officeDocument/2006/relationships/hyperlink" Target="https://map.kakao.com/?q=%EF%BB%BF%EC%84%9C%EC%9A%B8%20%EB%A7%88%ED%8F%AC%EA%B5%AC%20%EC%84%9C%EA%B5%90%EB%8F%99%20490" TargetMode="External"/><Relationship Id="rId304" Type="http://schemas.openxmlformats.org/officeDocument/2006/relationships/hyperlink" Target="https://map.kakao.com/?q=%EF%BB%BF%EC%84%9C%EC%9A%B8%20%EB%A7%88%ED%8F%AC%EA%B5%AC%20%EC%84%9C%EA%B5%90%EB%8F%99%20486" TargetMode="External"/><Relationship Id="rId346" Type="http://schemas.openxmlformats.org/officeDocument/2006/relationships/hyperlink" Target="https://map.kakao.com/?q=%EF%BB%BF%EC%84%9C%EC%9A%B8%20%EB%A7%88%ED%8F%AC%EA%B5%AC%20%EC%84%9C%EA%B5%90%EB%8F%99%20344-6" TargetMode="External"/><Relationship Id="rId388" Type="http://schemas.openxmlformats.org/officeDocument/2006/relationships/hyperlink" Target="https://map.kakao.com/?q=%EF%BB%BF%EC%84%9C%EC%9A%B8%20%EB%A7%88%ED%8F%AC%EA%B5%AC%20%EC%84%9C%EA%B5%90%EB%8F%99%20494" TargetMode="External"/><Relationship Id="rId85" Type="http://schemas.openxmlformats.org/officeDocument/2006/relationships/hyperlink" Target="https://map.kakao.com/?q=%EF%BB%BF%EC%84%9C%EC%9A%B8%20%EB%A7%88%ED%8F%AC%EA%B5%AC%20%EB%85%B8%EA%B3%A0%EC%82%B0%EB%8F%99%2057-26" TargetMode="External"/><Relationship Id="rId150" Type="http://schemas.openxmlformats.org/officeDocument/2006/relationships/hyperlink" Target="https://map.kakao.com/?q=%EF%BB%BF%EC%84%9C%EC%9A%B8%20%EB%A7%88%ED%8F%AC%EA%B5%AC%20%EC%84%9C%EA%B5%90%EB%8F%99%20490" TargetMode="External"/><Relationship Id="rId192" Type="http://schemas.openxmlformats.org/officeDocument/2006/relationships/hyperlink" Target="https://map.kakao.com/?q=%EF%BB%BF%EC%84%9C%EC%9A%B8%20%EB%A7%88%ED%8F%AC%EA%B5%AC%20%EC%84%9C%EA%B5%90%EB%8F%99%20486" TargetMode="External"/><Relationship Id="rId206" Type="http://schemas.openxmlformats.org/officeDocument/2006/relationships/hyperlink" Target="https://map.kakao.com/?q=%EF%BB%BF%EC%84%9C%EC%9A%B8%20%EB%A7%88%ED%8F%AC%EA%B5%AC%20%EC%B0%BD%EC%A0%84%EB%8F%99%20444" TargetMode="External"/><Relationship Id="rId413" Type="http://schemas.openxmlformats.org/officeDocument/2006/relationships/hyperlink" Target="https://map.kakao.com/?q=%EF%BB%BF%EC%84%9C%EC%9A%B8%20%EB%A7%88%ED%8F%AC%EA%B5%AC%20%EC%8B%A0%EC%A0%95%EB%8F%99%2030" TargetMode="External"/><Relationship Id="rId248" Type="http://schemas.openxmlformats.org/officeDocument/2006/relationships/hyperlink" Target="https://map.kakao.com/?q=%EF%BB%BF%EC%84%9C%EC%9A%B8%20%EB%A7%88%ED%8F%AC%EA%B5%AC%20%EC%97%B0%EB%82%A8%EB%8F%99%20382-23" TargetMode="External"/><Relationship Id="rId455" Type="http://schemas.openxmlformats.org/officeDocument/2006/relationships/vmlDrawing" Target="../drawings/vmlDrawing2.vml"/><Relationship Id="rId12" Type="http://schemas.openxmlformats.org/officeDocument/2006/relationships/hyperlink" Target="https://map.kakao.com/?q=%EF%BB%BF%EC%84%9C%EC%9A%B8%20%EB%A7%88%ED%8F%AC%EA%B5%AC%20%EC%84%9C%EA%B5%90%EB%8F%99%20490" TargetMode="External"/><Relationship Id="rId108" Type="http://schemas.openxmlformats.org/officeDocument/2006/relationships/hyperlink" Target="https://map.kakao.com/?q=%EF%BB%BF%EC%84%9C%EC%9A%B8%20%EB%A7%88%ED%8F%AC%EA%B5%AC%20%EB%8F%99%EA%B5%90%EB%8F%99%20165-8" TargetMode="External"/><Relationship Id="rId315" Type="http://schemas.openxmlformats.org/officeDocument/2006/relationships/hyperlink" Target="https://map.kakao.com/?q=%EF%BB%BF%EC%84%9C%EC%9A%B8%20%EB%A7%88%ED%8F%AC%EA%B5%AC%20%EC%B0%BD%EC%A0%84%EB%8F%99%20444" TargetMode="External"/><Relationship Id="rId357" Type="http://schemas.openxmlformats.org/officeDocument/2006/relationships/hyperlink" Target="https://map.kakao.com/?q=%EF%BB%BF%EC%84%9C%EC%9A%B8%20%EB%A7%88%ED%8F%AC%EA%B5%AC%20%EC%84%9C%EA%B5%90%EB%8F%99%20490" TargetMode="External"/><Relationship Id="rId54" Type="http://schemas.openxmlformats.org/officeDocument/2006/relationships/hyperlink" Target="https://map.kakao.com/?q=%EF%BB%BF%EC%84%9C%EC%9A%B8%20%EC%84%9C%EB%8C%80%EB%AC%B8%EA%B5%AC%20%EC%B0%BD%EC%B2%9C%EB%8F%99%2020-26" TargetMode="External"/><Relationship Id="rId96" Type="http://schemas.openxmlformats.org/officeDocument/2006/relationships/hyperlink" Target="https://map.kakao.com/?q=%EF%BB%BF%EC%84%9C%EC%9A%B8%20%EB%A7%88%ED%8F%AC%EA%B5%AC%20%ED%95%A9%EC%A0%95%EB%8F%99%20428-56" TargetMode="External"/><Relationship Id="rId161" Type="http://schemas.openxmlformats.org/officeDocument/2006/relationships/hyperlink" Target="https://map.kakao.com/?q=%EF%BB%BF%EC%84%9C%EC%9A%B8%20%EB%A7%88%ED%8F%AC%EA%B5%AC%20%ED%95%A9%EC%A0%95%EB%8F%99%20398-10" TargetMode="External"/><Relationship Id="rId217" Type="http://schemas.openxmlformats.org/officeDocument/2006/relationships/hyperlink" Target="https://map.kakao.com/?q=%EF%BB%BF%EC%84%9C%EC%9A%B8%20%EB%A7%88%ED%8F%AC%EA%B5%AC%20%ED%95%A9%EC%A0%95%EB%8F%99%20472" TargetMode="External"/><Relationship Id="rId399" Type="http://schemas.openxmlformats.org/officeDocument/2006/relationships/hyperlink" Target="https://map.kakao.com/?q=%EF%BB%BF%EC%84%9C%EC%9A%B8%20%EB%A7%88%ED%8F%AC%EA%B5%AC%20%EC%B0%BD%EC%A0%84%EB%8F%99%20444" TargetMode="External"/><Relationship Id="rId259" Type="http://schemas.openxmlformats.org/officeDocument/2006/relationships/hyperlink" Target="https://map.kakao.com/?q=%EF%BB%BF%EC%84%9C%EC%9A%B8%20%EB%A7%88%ED%8F%AC%EA%B5%AC%20%EC%84%9C%EA%B5%90%EB%8F%99%20487" TargetMode="External"/><Relationship Id="rId424" Type="http://schemas.openxmlformats.org/officeDocument/2006/relationships/hyperlink" Target="https://map.kakao.com/?q=%EF%BB%BF%EC%84%9C%EC%9A%B8%20%EB%A7%88%ED%8F%AC%EA%B5%AC%20%EC%B0%BD%EC%A0%84%EB%8F%99%20442" TargetMode="External"/><Relationship Id="rId23" Type="http://schemas.openxmlformats.org/officeDocument/2006/relationships/hyperlink" Target="https://map.kakao.com/?q=%EF%BB%BF%EC%84%9C%EC%9A%B8%20%EC%98%81%EB%93%B1%ED%8F%AC%EA%B5%AC%20%EC%96%91%ED%8F%89%EB%8F%995%EA%B0%80%2076" TargetMode="External"/><Relationship Id="rId119" Type="http://schemas.openxmlformats.org/officeDocument/2006/relationships/hyperlink" Target="https://map.kakao.com/?q=%EF%BB%BF%EC%84%9C%EC%9A%B8%20%EB%A7%88%ED%8F%AC%EA%B5%AC%20%EB%8F%99%EA%B5%90%EB%8F%99%20165-8" TargetMode="External"/><Relationship Id="rId270" Type="http://schemas.openxmlformats.org/officeDocument/2006/relationships/hyperlink" Target="https://map.kakao.com/?q=%EF%BB%BF%EC%84%9C%EC%9A%B8%20%EB%A7%88%ED%8F%AC%EA%B5%AC%20%EC%84%9C%EA%B5%90%EB%8F%99%20372-8" TargetMode="External"/><Relationship Id="rId326" Type="http://schemas.openxmlformats.org/officeDocument/2006/relationships/hyperlink" Target="https://map.kakao.com/?q=%EF%BB%BF%EC%84%9C%EC%9A%B8%20%EB%A7%88%ED%8F%AC%EA%B5%AC%20%EC%B0%BD%EC%A0%84%EB%8F%99%20444" TargetMode="External"/><Relationship Id="rId65" Type="http://schemas.openxmlformats.org/officeDocument/2006/relationships/hyperlink" Target="https://map.kakao.com/?q=%EF%BB%BF%EC%84%9C%EC%9A%B8%20%EB%A7%88%ED%8F%AC%EA%B5%AC%20%EC%84%9C%EA%B5%90%EB%8F%99%20490" TargetMode="External"/><Relationship Id="rId130" Type="http://schemas.openxmlformats.org/officeDocument/2006/relationships/hyperlink" Target="https://map.kakao.com/?q=%EF%BB%BF%EC%84%9C%EC%9A%B8%20%EB%A7%88%ED%8F%AC%EA%B5%AC%20%EC%84%9C%EA%B5%90%EB%8F%99%20474-23" TargetMode="External"/><Relationship Id="rId368" Type="http://schemas.openxmlformats.org/officeDocument/2006/relationships/hyperlink" Target="https://map.kakao.com/?q=%EF%BB%BF%EC%84%9C%EC%9A%B8%20%EB%A7%88%ED%8F%AC%EA%B5%AC%20%EC%B0%BD%EC%A0%84%EB%8F%99%20444" TargetMode="External"/><Relationship Id="rId172" Type="http://schemas.openxmlformats.org/officeDocument/2006/relationships/hyperlink" Target="https://map.kakao.com/?q=%EF%BB%BF%EC%84%9C%EC%9A%B8%20%EB%A7%88%ED%8F%AC%EA%B5%AC%20%ED%95%A9%EC%A0%95%EB%8F%99%20473" TargetMode="External"/><Relationship Id="rId228" Type="http://schemas.openxmlformats.org/officeDocument/2006/relationships/hyperlink" Target="https://map.kakao.com/?q=%EF%BB%BF%EC%84%9C%EC%9A%B8%20%EB%A7%88%ED%8F%AC%EA%B5%AC%20%EC%84%9C%EA%B5%90%EB%8F%99%20358-94" TargetMode="External"/><Relationship Id="rId435" Type="http://schemas.openxmlformats.org/officeDocument/2006/relationships/hyperlink" Target="https://map.kakao.com/?q=%EF%BB%BF%EC%84%9C%EC%9A%B8%20%EB%A7%88%ED%8F%AC%EA%B5%AC%20%EC%B0%BD%EC%A0%84%EB%8F%99%20444" TargetMode="External"/><Relationship Id="rId281" Type="http://schemas.openxmlformats.org/officeDocument/2006/relationships/hyperlink" Target="https://map.kakao.com/?q=%EF%BB%BF%EC%84%9C%EC%9A%B8%20%EB%A7%88%ED%8F%AC%EA%B5%AC%20%ED%95%A9%EC%A0%95%EB%8F%99%20472" TargetMode="External"/><Relationship Id="rId337" Type="http://schemas.openxmlformats.org/officeDocument/2006/relationships/hyperlink" Target="https://map.kakao.com/?q=%EF%BB%BF%EC%84%9C%EC%9A%B8%20%EB%A7%88%ED%8F%AC%EA%B5%AC%20%EC%84%9C%EA%B5%90%EB%8F%99%20366-26" TargetMode="External"/><Relationship Id="rId34" Type="http://schemas.openxmlformats.org/officeDocument/2006/relationships/hyperlink" Target="https://map.kakao.com/?q=%EF%BB%BF%EC%84%9C%EC%9A%B8%20%EB%A7%88%ED%8F%AC%EA%B5%AC%20%ED%95%A9%EC%A0%95%EB%8F%99%20473" TargetMode="External"/><Relationship Id="rId76" Type="http://schemas.openxmlformats.org/officeDocument/2006/relationships/hyperlink" Target="https://map.kakao.com/?q=%EF%BB%BF%EC%84%9C%EC%9A%B8%20%EB%A7%88%ED%8F%AC%EA%B5%AC%20%EC%84%9C%EA%B5%90%EB%8F%99%20490" TargetMode="External"/><Relationship Id="rId141" Type="http://schemas.openxmlformats.org/officeDocument/2006/relationships/hyperlink" Target="https://map.kakao.com/?q=%EF%BB%BF%EC%84%9C%EC%9A%B8%20%EB%A7%88%ED%8F%AC%EA%B5%AC%20%EC%8B%A0%EC%88%98%EB%8F%99%20462" TargetMode="External"/><Relationship Id="rId379" Type="http://schemas.openxmlformats.org/officeDocument/2006/relationships/hyperlink" Target="https://map.kakao.com/?q=%EF%BB%BF%EC%84%9C%EC%9A%B8%20%EB%A7%88%ED%8F%AC%EA%B5%AC%20%EC%84%9C%EA%B5%90%EB%8F%99%20494" TargetMode="External"/><Relationship Id="rId7" Type="http://schemas.openxmlformats.org/officeDocument/2006/relationships/hyperlink" Target="https://map.kakao.com/?q=%EF%BB%BF%EC%84%9C%EC%9A%B8%20%EC%84%9C%EB%8C%80%EB%AC%B8%EA%B5%AC%20%EC%B0%BD%EC%B2%9C%EB%8F%99%20318" TargetMode="External"/><Relationship Id="rId183" Type="http://schemas.openxmlformats.org/officeDocument/2006/relationships/hyperlink" Target="https://map.kakao.com/?q=%EF%BB%BF%EC%84%9C%EC%9A%B8%20%EB%A7%88%ED%8F%AC%EA%B5%AC%20%EC%84%9C%EA%B5%90%EB%8F%99%20372-8" TargetMode="External"/><Relationship Id="rId239" Type="http://schemas.openxmlformats.org/officeDocument/2006/relationships/hyperlink" Target="https://map.kakao.com/?q=%EF%BB%BF%EC%84%9C%EC%9A%B8%20%EB%A7%88%ED%8F%AC%EA%B5%AC%20%EC%84%9C%EA%B5%90%EB%8F%99%20494" TargetMode="External"/><Relationship Id="rId390" Type="http://schemas.openxmlformats.org/officeDocument/2006/relationships/hyperlink" Target="https://map.kakao.com/?q=%EF%BB%BF%EC%84%9C%EC%9A%B8%20%EB%A7%88%ED%8F%AC%EA%B5%AC%20%EC%84%9C%EA%B5%90%EB%8F%99%20344-6" TargetMode="External"/><Relationship Id="rId404" Type="http://schemas.openxmlformats.org/officeDocument/2006/relationships/hyperlink" Target="https://map.kakao.com/?q=%EF%BB%BF%EC%84%9C%EC%9A%B8%20%EB%A7%88%ED%8F%AC%EA%B5%AC%20%EC%B0%BD%EC%A0%84%EB%8F%99%20442" TargetMode="External"/><Relationship Id="rId446" Type="http://schemas.openxmlformats.org/officeDocument/2006/relationships/hyperlink" Target="https://map.kakao.com/?q=%EF%BB%BF%EC%84%9C%EC%9A%B8%20%EB%A7%88%ED%8F%AC%EA%B5%AC%20%EB%8F%99%EA%B5%90%EB%8F%99%20166-11" TargetMode="External"/><Relationship Id="rId250" Type="http://schemas.openxmlformats.org/officeDocument/2006/relationships/hyperlink" Target="https://map.kakao.com/?q=%EF%BB%BF%EC%84%9C%EC%9A%B8%20%EB%A7%88%ED%8F%AC%EA%B5%AC%20%EB%8F%99%EA%B5%90%EB%8F%99%20165-8" TargetMode="External"/><Relationship Id="rId292" Type="http://schemas.openxmlformats.org/officeDocument/2006/relationships/hyperlink" Target="https://map.kakao.com/?q=%EF%BB%BF%EC%84%9C%EC%9A%B8%20%EB%A7%88%ED%8F%AC%EA%B5%AC%20%EB%8F%99%EA%B5%90%EB%8F%99%20165-8" TargetMode="External"/><Relationship Id="rId306" Type="http://schemas.openxmlformats.org/officeDocument/2006/relationships/hyperlink" Target="https://map.kakao.com/?q=%EF%BB%BF%EC%84%9C%EC%9A%B8%20%EB%A7%88%ED%8F%AC%EA%B5%AC%20%EB%8F%99%EA%B5%90%EB%8F%99%20185-7" TargetMode="External"/><Relationship Id="rId45" Type="http://schemas.openxmlformats.org/officeDocument/2006/relationships/hyperlink" Target="https://map.kakao.com/?q=%EF%BB%BF%EC%84%9C%EC%9A%B8%20%EB%A7%88%ED%8F%AC%EA%B5%AC%20%ED%95%A9%EC%A0%95%EB%8F%99%20382-20" TargetMode="External"/><Relationship Id="rId87" Type="http://schemas.openxmlformats.org/officeDocument/2006/relationships/hyperlink" Target="https://map.kakao.com/?q=%EF%BB%BF%EC%84%9C%EC%9A%B8%20%EB%A7%88%ED%8F%AC%EA%B5%AC%20%EC%84%9C%EA%B5%90%EB%8F%99%20494" TargetMode="External"/><Relationship Id="rId110" Type="http://schemas.openxmlformats.org/officeDocument/2006/relationships/hyperlink" Target="https://map.kakao.com/?q=%EF%BB%BF%EC%84%9C%EC%9A%B8%20%EB%A7%88%ED%8F%AC%EA%B5%AC%20%EC%84%9C%EA%B5%90%EB%8F%99%20486" TargetMode="External"/><Relationship Id="rId348" Type="http://schemas.openxmlformats.org/officeDocument/2006/relationships/hyperlink" Target="https://map.kakao.com/?q=%EF%BB%BF%EC%84%9C%EC%9A%B8%20%EB%A7%88%ED%8F%AC%EA%B5%AC%20%EC%8B%A0%EC%88%98%EB%8F%99%20462" TargetMode="External"/><Relationship Id="rId152" Type="http://schemas.openxmlformats.org/officeDocument/2006/relationships/hyperlink" Target="https://map.kakao.com/?q=%EF%BB%BF%EC%84%9C%EC%9A%B8%20%EB%A7%88%ED%8F%AC%EA%B5%AC%20%ED%95%A9%EC%A0%95%EB%8F%99%20398-10" TargetMode="External"/><Relationship Id="rId194" Type="http://schemas.openxmlformats.org/officeDocument/2006/relationships/hyperlink" Target="https://map.kakao.com/?q=%EF%BB%BF%EC%84%9C%EC%9A%B8%20%EB%A7%88%ED%8F%AC%EA%B5%AC%20%EC%B0%BD%EC%A0%84%EB%8F%99%20439" TargetMode="External"/><Relationship Id="rId208" Type="http://schemas.openxmlformats.org/officeDocument/2006/relationships/hyperlink" Target="https://map.kakao.com/?q=%EF%BB%BF%EC%84%9C%EC%9A%B8%20%EB%A7%88%ED%8F%AC%EA%B5%AC%20%EC%B0%BD%EC%A0%84%EB%8F%99%20444" TargetMode="External"/><Relationship Id="rId415" Type="http://schemas.openxmlformats.org/officeDocument/2006/relationships/hyperlink" Target="https://map.kakao.com/?q=%EF%BB%BF%EC%84%9C%EC%9A%B8%20%EB%A7%88%ED%8F%AC%EA%B5%AC%20%EC%8B%A0%EC%A0%95%EB%8F%99%2030" TargetMode="External"/><Relationship Id="rId261" Type="http://schemas.openxmlformats.org/officeDocument/2006/relationships/hyperlink" Target="https://map.kakao.com/?q=%EF%BB%BF%EC%84%9C%EC%9A%B8%20%EB%A7%88%ED%8F%AC%EA%B5%AC%20%EB%8F%99%EA%B5%90%EB%8F%99%20165-8" TargetMode="External"/><Relationship Id="rId14" Type="http://schemas.openxmlformats.org/officeDocument/2006/relationships/hyperlink" Target="https://map.kakao.com/?q=%EF%BB%BF%EC%84%9C%EC%9A%B8%20%EB%A7%88%ED%8F%AC%EA%B5%AC%20%EC%84%9C%EA%B5%90%EB%8F%99%20486" TargetMode="External"/><Relationship Id="rId56" Type="http://schemas.openxmlformats.org/officeDocument/2006/relationships/hyperlink" Target="https://map.kakao.com/?q=%EF%BB%BF%EC%84%9C%EC%9A%B8%20%EB%A7%88%ED%8F%AC%EA%B5%AC%20%ED%95%A9%EC%A0%95%EB%8F%99%20434-42" TargetMode="External"/><Relationship Id="rId317" Type="http://schemas.openxmlformats.org/officeDocument/2006/relationships/hyperlink" Target="https://map.kakao.com/?q=%EF%BB%BF%EC%84%9C%EC%9A%B8%20%EB%A7%88%ED%8F%AC%EA%B5%AC%20%EB%8F%99%EA%B5%90%EB%8F%99%20165-8" TargetMode="External"/><Relationship Id="rId359" Type="http://schemas.openxmlformats.org/officeDocument/2006/relationships/hyperlink" Target="https://map.kakao.com/?q=%EF%BB%BF%EC%84%9C%EC%9A%B8%20%EB%A7%88%ED%8F%AC%EA%B5%AC%20%EC%8B%A0%EC%88%98%EB%8F%99%20462" TargetMode="External"/><Relationship Id="rId98" Type="http://schemas.openxmlformats.org/officeDocument/2006/relationships/hyperlink" Target="https://map.kakao.com/?q=%EF%BB%BF%EC%84%9C%EC%9A%B8%20%EB%A7%88%ED%8F%AC%EA%B5%AC%20%ED%95%A9%EC%A0%95%EB%8F%99%20382-20" TargetMode="External"/><Relationship Id="rId121" Type="http://schemas.openxmlformats.org/officeDocument/2006/relationships/hyperlink" Target="https://map.kakao.com/?q=%EF%BB%BF%EC%84%9C%EC%9A%B8%20%EB%A7%88%ED%8F%AC%EA%B5%AC%20%EC%84%9C%EA%B5%90%EB%8F%99%20487" TargetMode="External"/><Relationship Id="rId163" Type="http://schemas.openxmlformats.org/officeDocument/2006/relationships/hyperlink" Target="https://map.kakao.com/?q=%EF%BB%BF%EC%84%9C%EC%9A%B8%20%EB%A7%88%ED%8F%AC%EA%B5%AC%20%EC%84%9C%EA%B5%90%EB%8F%99%20490" TargetMode="External"/><Relationship Id="rId219" Type="http://schemas.openxmlformats.org/officeDocument/2006/relationships/hyperlink" Target="https://map.kakao.com/?q=%EF%BB%BF%EC%84%9C%EC%9A%B8%20%EB%A7%88%ED%8F%AC%EA%B5%AC%20%EC%84%9C%EA%B5%90%EB%8F%99%20366-4" TargetMode="External"/><Relationship Id="rId370" Type="http://schemas.openxmlformats.org/officeDocument/2006/relationships/hyperlink" Target="https://map.kakao.com/?q=%EF%BB%BF%EC%84%9C%EC%9A%B8%20%EB%A7%88%ED%8F%AC%EA%B5%AC%20%EC%84%9C%EA%B5%90%EB%8F%99%20494" TargetMode="External"/><Relationship Id="rId426" Type="http://schemas.openxmlformats.org/officeDocument/2006/relationships/hyperlink" Target="https://map.kakao.com/?q=%EF%BB%BF%EC%84%9C%EC%9A%B8%20%EB%A7%88%ED%8F%AC%EA%B5%AC%20%EC%84%9C%EA%B5%90%EB%8F%99%20494" TargetMode="External"/><Relationship Id="rId230" Type="http://schemas.openxmlformats.org/officeDocument/2006/relationships/hyperlink" Target="https://map.kakao.com/?q=%EF%BB%BF%EC%84%9C%EC%9A%B8%20%EB%A7%88%ED%8F%AC%EA%B5%AC%20%EC%84%9C%EA%B5%90%EB%8F%99%20358-94" TargetMode="External"/><Relationship Id="rId25" Type="http://schemas.openxmlformats.org/officeDocument/2006/relationships/hyperlink" Target="https://map.kakao.com/?q=%EF%BB%BF%EC%84%9C%EC%9A%B8%20%EB%A7%88%ED%8F%AC%EA%B5%AC%20%EC%84%9C%EA%B5%90%EB%8F%99%20490" TargetMode="External"/><Relationship Id="rId67" Type="http://schemas.openxmlformats.org/officeDocument/2006/relationships/hyperlink" Target="https://map.kakao.com/?q=%EF%BB%BF%EC%84%9C%EC%9A%B8%20%EB%A7%88%ED%8F%AC%EA%B5%AC%20%ED%95%A9%EC%A0%95%EB%8F%99%20441-37" TargetMode="External"/><Relationship Id="rId272" Type="http://schemas.openxmlformats.org/officeDocument/2006/relationships/hyperlink" Target="https://map.kakao.com/?q=%EF%BB%BF%EC%84%9C%EC%9A%B8%20%EB%A7%88%ED%8F%AC%EA%B5%AC%20%EC%84%9C%EA%B5%90%EB%8F%99%20487" TargetMode="External"/><Relationship Id="rId328" Type="http://schemas.openxmlformats.org/officeDocument/2006/relationships/hyperlink" Target="https://map.kakao.com/?q=%EF%BB%BF%EC%84%9C%EC%9A%B8%20%EB%A7%88%ED%8F%AC%EA%B5%AC%20%EC%8B%A0%EC%88%98%EB%8F%99%20462" TargetMode="External"/><Relationship Id="rId132" Type="http://schemas.openxmlformats.org/officeDocument/2006/relationships/hyperlink" Target="https://map.kakao.com/?q=%EF%BB%BF%EC%84%9C%EC%9A%B8%20%EB%A7%88%ED%8F%AC%EA%B5%AC%20%EB%8F%99%EA%B5%90%EB%8F%99%20165-8" TargetMode="External"/><Relationship Id="rId174" Type="http://schemas.openxmlformats.org/officeDocument/2006/relationships/hyperlink" Target="https://map.kakao.com/?q=%EF%BB%BF%EC%84%9C%EC%9A%B8%20%EB%A7%88%ED%8F%AC%EA%B5%AC%20%EC%8B%A0%EC%88%98%EB%8F%99%20453" TargetMode="External"/><Relationship Id="rId381" Type="http://schemas.openxmlformats.org/officeDocument/2006/relationships/hyperlink" Target="https://map.kakao.com/?q=%EF%BB%BF%EC%84%9C%EC%9A%B8%20%EB%A7%88%ED%8F%AC%EA%B5%AC%20%EC%84%9C%EA%B5%90%EB%8F%99%20344-6" TargetMode="External"/><Relationship Id="rId241" Type="http://schemas.openxmlformats.org/officeDocument/2006/relationships/hyperlink" Target="https://map.kakao.com/?q=%EF%BB%BF%EC%84%9C%EC%9A%B8%20%EB%A7%88%ED%8F%AC%EA%B5%AC%20%EC%84%9C%EA%B5%90%EB%8F%99%20490" TargetMode="External"/><Relationship Id="rId437" Type="http://schemas.openxmlformats.org/officeDocument/2006/relationships/hyperlink" Target="https://map.kakao.com/?q=%EF%BB%BF%EC%84%9C%EC%9A%B8%20%EB%A7%88%ED%8F%AC%EA%B5%AC%20%EC%B0%BD%EC%A0%84%EB%8F%99%20444" TargetMode="External"/><Relationship Id="rId36" Type="http://schemas.openxmlformats.org/officeDocument/2006/relationships/hyperlink" Target="https://map.kakao.com/?q=%EF%BB%BF%EC%84%9C%EC%9A%B8%20%EB%A7%88%ED%8F%AC%EA%B5%AC%20%EC%84%9C%EA%B5%90%EB%8F%99%20486" TargetMode="External"/><Relationship Id="rId283" Type="http://schemas.openxmlformats.org/officeDocument/2006/relationships/hyperlink" Target="https://map.kakao.com/?q=%EF%BB%BF%EC%84%9C%EC%9A%B8%20%EB%A7%88%ED%8F%AC%EA%B5%AC%20%ED%95%A9%EC%A0%95%EB%8F%99%20472" TargetMode="External"/><Relationship Id="rId339" Type="http://schemas.openxmlformats.org/officeDocument/2006/relationships/hyperlink" Target="https://map.kakao.com/?q=%EF%BB%BF%EC%84%9C%EC%9A%B8%20%EB%A7%88%ED%8F%AC%EA%B5%AC%20%EC%97%B0%EB%82%A8%EB%8F%99%20223-88" TargetMode="External"/><Relationship Id="rId78" Type="http://schemas.openxmlformats.org/officeDocument/2006/relationships/hyperlink" Target="https://map.kakao.com/?q=%EF%BB%BF%EC%84%9C%EC%9A%B8%20%EB%A7%88%ED%8F%AC%EA%B5%AC%20%EB%85%B8%EA%B3%A0%EC%82%B0%EB%8F%99%2057-26" TargetMode="External"/><Relationship Id="rId101" Type="http://schemas.openxmlformats.org/officeDocument/2006/relationships/hyperlink" Target="https://map.kakao.com/?q=%EF%BB%BF%EC%84%9C%EC%9A%B8%20%EB%A7%88%ED%8F%AC%EA%B5%AC%20%EB%85%B8%EA%B3%A0%EC%82%B0%EB%8F%99%2057-18" TargetMode="External"/><Relationship Id="rId143" Type="http://schemas.openxmlformats.org/officeDocument/2006/relationships/hyperlink" Target="https://map.kakao.com/?q=%EF%BB%BF%EC%84%9C%EC%9A%B8%20%EC%84%9C%EB%8C%80%EB%AC%B8%EA%B5%AC%20%EC%B0%BD%EC%B2%9C%EB%8F%99%205-41" TargetMode="External"/><Relationship Id="rId185" Type="http://schemas.openxmlformats.org/officeDocument/2006/relationships/hyperlink" Target="https://map.kakao.com/?q=%EF%BB%BF%EC%84%9C%EC%9A%B8%20%EB%A7%88%ED%8F%AC%EA%B5%AC%20%EC%8B%A0%EC%88%98%EB%8F%99%20462" TargetMode="External"/><Relationship Id="rId350" Type="http://schemas.openxmlformats.org/officeDocument/2006/relationships/hyperlink" Target="https://map.kakao.com/?q=%EF%BB%BF%EC%84%9C%EC%9A%B8%20%EB%A7%88%ED%8F%AC%EA%B5%AC%20%EC%97%B0%EB%82%A8%EB%8F%99%20564-25" TargetMode="External"/><Relationship Id="rId406" Type="http://schemas.openxmlformats.org/officeDocument/2006/relationships/hyperlink" Target="https://map.kakao.com/?q=%EF%BB%BF%EC%84%9C%EC%9A%B8%20%EB%A7%88%ED%8F%AC%EA%B5%AC%20%EB%8F%99%EA%B5%90%EB%8F%99%20165-8" TargetMode="External"/><Relationship Id="rId9" Type="http://schemas.openxmlformats.org/officeDocument/2006/relationships/hyperlink" Target="https://map.kakao.com/?q=%EF%BB%BF%EC%84%9C%EC%9A%B8%20%EC%98%81%EB%93%B1%ED%8F%AC%EA%B5%AC%20%EC%96%91%ED%8F%89%EB%8F%995%EA%B0%80%2076" TargetMode="External"/><Relationship Id="rId210" Type="http://schemas.openxmlformats.org/officeDocument/2006/relationships/hyperlink" Target="https://map.kakao.com/?q=%EF%BB%BF%EC%84%9C%EC%9A%B8%20%EB%A7%88%ED%8F%AC%EA%B5%AC%20%EC%84%9C%EA%B5%90%EB%8F%99%20372-8" TargetMode="External"/><Relationship Id="rId392" Type="http://schemas.openxmlformats.org/officeDocument/2006/relationships/hyperlink" Target="https://map.kakao.com/?q=%EF%BB%BF%EC%84%9C%EC%9A%B8%20%EB%A7%88%ED%8F%AC%EA%B5%AC%20%EC%97%B0%EB%82%A8%EB%8F%99%20385-1" TargetMode="External"/><Relationship Id="rId448" Type="http://schemas.openxmlformats.org/officeDocument/2006/relationships/hyperlink" Target="https://map.kakao.com/?q=%EF%BB%BF%EC%84%9C%EC%9A%B8%20%EB%A7%88%ED%8F%AC%EA%B5%AC%20%EC%84%9C%EA%B5%90%EB%8F%99%20344-6" TargetMode="External"/><Relationship Id="rId252" Type="http://schemas.openxmlformats.org/officeDocument/2006/relationships/hyperlink" Target="https://map.kakao.com/?q=%EF%BB%BF%EC%84%9C%EC%9A%B8%20%EB%A7%88%ED%8F%AC%EA%B5%AC%20%EC%97%B0%EB%82%A8%EB%8F%99%20382-23" TargetMode="External"/><Relationship Id="rId294" Type="http://schemas.openxmlformats.org/officeDocument/2006/relationships/hyperlink" Target="https://map.kakao.com/?q=%EF%BB%BF%EC%84%9C%EC%9A%B8%20%EB%A7%88%ED%8F%AC%EA%B5%AC%20%EC%97%B0%EB%82%A8%EB%8F%99%20239-4" TargetMode="External"/><Relationship Id="rId308" Type="http://schemas.openxmlformats.org/officeDocument/2006/relationships/hyperlink" Target="https://map.kakao.com/?q=%EF%BB%BF%EC%84%9C%EC%9A%B8%20%EB%A7%88%ED%8F%AC%EA%B5%AC%20%EC%84%9C%EA%B5%90%EB%8F%99%20490" TargetMode="External"/><Relationship Id="rId47" Type="http://schemas.openxmlformats.org/officeDocument/2006/relationships/hyperlink" Target="https://map.kakao.com/?q=%EF%BB%BF%EC%84%9C%EC%9A%B8%20%EB%A7%88%ED%8F%AC%EA%B5%AC%20%ED%95%A9%EC%A0%95%EB%8F%99%20382-20" TargetMode="External"/><Relationship Id="rId89" Type="http://schemas.openxmlformats.org/officeDocument/2006/relationships/hyperlink" Target="https://map.kakao.com/?q=%EF%BB%BF%EC%84%9C%EC%9A%B8%20%EB%A7%88%ED%8F%AC%EA%B5%AC%20%EC%84%9C%EA%B5%90%EB%8F%99%20394-25" TargetMode="External"/><Relationship Id="rId112" Type="http://schemas.openxmlformats.org/officeDocument/2006/relationships/hyperlink" Target="https://map.kakao.com/?q=%EF%BB%BF%EC%84%9C%EC%9A%B8%20%EB%A7%88%ED%8F%AC%EA%B5%AC%20%EB%A7%9D%EC%9B%90%EB%8F%99%20384-25" TargetMode="External"/><Relationship Id="rId154" Type="http://schemas.openxmlformats.org/officeDocument/2006/relationships/hyperlink" Target="https://map.kakao.com/?q=%EF%BB%BF%EC%84%9C%EC%9A%B8%20%EB%A7%88%ED%8F%AC%EA%B5%AC%20%ED%95%A9%EC%A0%95%EB%8F%99%20398-10" TargetMode="External"/><Relationship Id="rId361" Type="http://schemas.openxmlformats.org/officeDocument/2006/relationships/hyperlink" Target="https://map.kakao.com/?q=%EF%BB%BF%EC%84%9C%EC%9A%B8%20%EB%A7%88%ED%8F%AC%EA%B5%AC%20%EC%8B%A0%EC%88%98%EB%8F%99%20462" TargetMode="External"/><Relationship Id="rId196" Type="http://schemas.openxmlformats.org/officeDocument/2006/relationships/hyperlink" Target="https://map.kakao.com/?q=%EF%BB%BF%EC%84%9C%EC%9A%B8%20%EB%A7%88%ED%8F%AC%EA%B5%AC%20%EC%84%9C%EA%B5%90%EB%8F%99%20490" TargetMode="External"/><Relationship Id="rId417" Type="http://schemas.openxmlformats.org/officeDocument/2006/relationships/hyperlink" Target="https://map.kakao.com/?q=%EF%BB%BF%EC%84%9C%EC%9A%B8%20%EB%A7%88%ED%8F%AC%EA%B5%AC%20%EB%8F%99%EA%B5%90%EB%8F%99%20165-8" TargetMode="External"/><Relationship Id="rId16" Type="http://schemas.openxmlformats.org/officeDocument/2006/relationships/hyperlink" Target="https://map.kakao.com/?q=%EF%BB%BF%EC%84%9C%EC%9A%B8%20%EB%A7%88%ED%8F%AC%EA%B5%AC%20%EC%84%9C%EA%B5%90%EB%8F%99%20486" TargetMode="External"/><Relationship Id="rId221" Type="http://schemas.openxmlformats.org/officeDocument/2006/relationships/hyperlink" Target="https://map.kakao.com/?q=%EF%BB%BF%EC%84%9C%EC%9A%B8%20%EB%A7%88%ED%8F%AC%EA%B5%AC%20%EC%84%9C%EA%B5%90%EB%8F%99%20394-25" TargetMode="External"/><Relationship Id="rId263" Type="http://schemas.openxmlformats.org/officeDocument/2006/relationships/hyperlink" Target="https://map.kakao.com/?q=%EF%BB%BF%EC%84%9C%EC%9A%B8%20%EB%A7%88%ED%8F%AC%EA%B5%AC%20%EC%84%9C%EA%B5%90%EB%8F%99%20372-8" TargetMode="External"/><Relationship Id="rId319" Type="http://schemas.openxmlformats.org/officeDocument/2006/relationships/hyperlink" Target="https://map.kakao.com/?q=%EF%BB%BF%EC%84%9C%EC%9A%B8%20%EC%84%9C%EB%8C%80%EB%AC%B8%EA%B5%AC%20%EC%B0%BD%EC%B2%9C%EB%8F%99%2029-81" TargetMode="External"/><Relationship Id="rId58" Type="http://schemas.openxmlformats.org/officeDocument/2006/relationships/hyperlink" Target="https://map.kakao.com/?q=%EF%BB%BF%EC%84%9C%EC%9A%B8%20%EC%84%9C%EB%8C%80%EB%AC%B8%EA%B5%AC%20%EC%B0%BD%EC%B2%9C%EB%8F%99%2020-26" TargetMode="External"/><Relationship Id="rId123" Type="http://schemas.openxmlformats.org/officeDocument/2006/relationships/hyperlink" Target="https://map.kakao.com/?q=%EF%BB%BF%EC%84%9C%EC%9A%B8%20%EB%A7%88%ED%8F%AC%EA%B5%AC%20%EC%84%9C%EA%B5%90%EB%8F%99%20487" TargetMode="External"/><Relationship Id="rId330" Type="http://schemas.openxmlformats.org/officeDocument/2006/relationships/hyperlink" Target="https://map.kakao.com/?q=%EF%BB%BF%EC%84%9C%EC%9A%B8%20%EB%A7%88%ED%8F%AC%EA%B5%AC%20%EC%84%9C%EA%B5%90%EB%8F%99%20366-26" TargetMode="External"/><Relationship Id="rId165" Type="http://schemas.openxmlformats.org/officeDocument/2006/relationships/hyperlink" Target="https://map.kakao.com/?q=%EF%BB%BF%EC%84%9C%EC%9A%B8%20%EB%A7%88%ED%8F%AC%EA%B5%AC%20%EC%84%9C%EA%B5%90%EB%8F%99%20490" TargetMode="External"/><Relationship Id="rId372" Type="http://schemas.openxmlformats.org/officeDocument/2006/relationships/hyperlink" Target="https://map.kakao.com/?q=%EF%BB%BF%EC%84%9C%EC%9A%B8%20%EB%A7%88%ED%8F%AC%EA%B5%AC%20%EC%B0%BD%EC%A0%84%EB%8F%99%20444" TargetMode="External"/><Relationship Id="rId428" Type="http://schemas.openxmlformats.org/officeDocument/2006/relationships/hyperlink" Target="https://map.kakao.com/?q=%EF%BB%BF%EC%84%9C%EC%9A%B8%20%EB%A7%88%ED%8F%AC%EA%B5%AC%20%EC%84%9C%EA%B5%90%EB%8F%99%20344-6" TargetMode="External"/><Relationship Id="rId232" Type="http://schemas.openxmlformats.org/officeDocument/2006/relationships/hyperlink" Target="https://map.kakao.com/?q=%EF%BB%BF%EC%84%9C%EC%9A%B8%20%EB%A7%88%ED%8F%AC%EA%B5%AC%20%EC%84%9C%EA%B5%90%EB%8F%99%20344-6" TargetMode="External"/><Relationship Id="rId274" Type="http://schemas.openxmlformats.org/officeDocument/2006/relationships/hyperlink" Target="https://map.kakao.com/?q=%EF%BB%BF%EC%84%9C%EC%9A%B8%20%EB%A7%88%ED%8F%AC%EA%B5%AC%20%EC%97%B0%EB%82%A8%EB%8F%99%20564-25" TargetMode="External"/><Relationship Id="rId27" Type="http://schemas.openxmlformats.org/officeDocument/2006/relationships/hyperlink" Target="https://map.kakao.com/?q=%EF%BB%BF%EC%84%9C%EC%9A%B8%20%EB%A7%88%ED%8F%AC%EA%B5%AC%20%EB%8F%99%EA%B5%90%EB%8F%99%20165-8" TargetMode="External"/><Relationship Id="rId69" Type="http://schemas.openxmlformats.org/officeDocument/2006/relationships/hyperlink" Target="https://map.kakao.com/?q=%EF%BB%BF%EC%84%9C%EC%9A%B8%20%EB%A7%88%ED%8F%AC%EA%B5%AC%20%EC%B0%BD%EC%A0%84%EB%8F%99%20444" TargetMode="External"/><Relationship Id="rId134" Type="http://schemas.openxmlformats.org/officeDocument/2006/relationships/hyperlink" Target="https://map.kakao.com/?q=%EF%BB%BF%EC%84%9C%EC%9A%B8%20%EC%84%9C%EB%8C%80%EB%AC%B8%EA%B5%AC%20%EC%B0%BD%EC%B2%9C%EB%8F%99%2029-81" TargetMode="External"/><Relationship Id="rId80" Type="http://schemas.openxmlformats.org/officeDocument/2006/relationships/hyperlink" Target="https://map.kakao.com/?q=%EF%BB%BF%EC%84%9C%EC%9A%B8%20%EB%A7%88%ED%8F%AC%EA%B5%AC%20%ED%95%A9%EC%A0%95%EB%8F%99%20451-8" TargetMode="External"/><Relationship Id="rId176" Type="http://schemas.openxmlformats.org/officeDocument/2006/relationships/hyperlink" Target="https://map.kakao.com/?q=%EF%BB%BF%EC%84%9C%EC%9A%B8%20%EB%A7%88%ED%8F%AC%EA%B5%AC%20%EC%83%81%EC%88%98%EB%8F%99%20145-13" TargetMode="External"/><Relationship Id="rId341" Type="http://schemas.openxmlformats.org/officeDocument/2006/relationships/hyperlink" Target="https://map.kakao.com/?q=%EF%BB%BF%EC%84%9C%EC%9A%B8%20%EB%A7%88%ED%8F%AC%EA%B5%AC%20%EC%8B%A0%EC%88%98%EB%8F%99%20453" TargetMode="External"/><Relationship Id="rId383" Type="http://schemas.openxmlformats.org/officeDocument/2006/relationships/hyperlink" Target="https://map.kakao.com/?q=%EF%BB%BF%EC%84%9C%EC%9A%B8%20%EB%A7%88%ED%8F%AC%EA%B5%AC%20%EC%84%9C%EA%B5%90%EB%8F%99%20494" TargetMode="External"/><Relationship Id="rId439" Type="http://schemas.openxmlformats.org/officeDocument/2006/relationships/hyperlink" Target="https://map.kakao.com/?q=%EF%BB%BF%EC%84%9C%EC%9A%B8%20%EB%A7%88%ED%8F%AC%EA%B5%AC%20%EC%84%9C%EA%B5%90%EB%8F%99%20494" TargetMode="External"/><Relationship Id="rId201" Type="http://schemas.openxmlformats.org/officeDocument/2006/relationships/hyperlink" Target="https://map.kakao.com/?q=%EF%BB%BF%EC%84%9C%EC%9A%B8%20%EB%A7%88%ED%8F%AC%EA%B5%AC%20%EC%8B%A0%EC%88%98%EB%8F%99%20462" TargetMode="External"/><Relationship Id="rId243" Type="http://schemas.openxmlformats.org/officeDocument/2006/relationships/hyperlink" Target="https://map.kakao.com/?q=%EF%BB%BF%EC%84%9C%EC%9A%B8%20%EC%84%9C%EB%8C%80%EB%AC%B8%EA%B5%AC%20%EC%B0%BD%EC%B2%9C%EB%8F%99%2072-22" TargetMode="External"/><Relationship Id="rId285" Type="http://schemas.openxmlformats.org/officeDocument/2006/relationships/hyperlink" Target="https://map.kakao.com/?q=%EF%BB%BF%EC%84%9C%EC%9A%B8%20%EB%A7%88%ED%8F%AC%EA%B5%AC%20%EC%84%9C%EA%B5%90%EB%8F%99%20400-23" TargetMode="External"/><Relationship Id="rId450" Type="http://schemas.openxmlformats.org/officeDocument/2006/relationships/hyperlink" Target="https://map.kakao.com/?q=%EF%BB%BF%EC%84%9C%EC%9A%B8%20%EB%A7%88%ED%8F%AC%EA%B5%AC%20%EB%8F%99%EA%B5%90%EB%8F%99%20166-11" TargetMode="External"/><Relationship Id="rId38" Type="http://schemas.openxmlformats.org/officeDocument/2006/relationships/hyperlink" Target="https://map.kakao.com/?q=%EF%BB%BF%EC%84%9C%EC%9A%B8%20%EB%A7%88%ED%8F%AC%EA%B5%AC%20%EC%97%B0%EB%82%A8%EB%8F%99%20562-48" TargetMode="External"/><Relationship Id="rId103" Type="http://schemas.openxmlformats.org/officeDocument/2006/relationships/hyperlink" Target="https://map.kakao.com/?q=%EF%BB%BF%EC%84%9C%EC%9A%B8%20%EB%A7%88%ED%8F%AC%EA%B5%AC%20%EC%84%9C%EA%B5%90%EB%8F%99%20490" TargetMode="External"/><Relationship Id="rId310" Type="http://schemas.openxmlformats.org/officeDocument/2006/relationships/hyperlink" Target="https://map.kakao.com/?q=%EF%BB%BF%EC%84%9C%EC%9A%B8%20%EB%A7%88%ED%8F%AC%EA%B5%AC%20%EC%84%9C%EA%B5%90%EB%8F%99%20487" TargetMode="External"/><Relationship Id="rId91" Type="http://schemas.openxmlformats.org/officeDocument/2006/relationships/hyperlink" Target="https://map.kakao.com/?q=%EF%BB%BF%EC%84%9C%EC%9A%B8%20%EB%A7%88%ED%8F%AC%EA%B5%AC%20%EC%84%9C%EA%B5%90%EB%8F%99%20487" TargetMode="External"/><Relationship Id="rId145" Type="http://schemas.openxmlformats.org/officeDocument/2006/relationships/hyperlink" Target="https://map.kakao.com/?q=%EF%BB%BF%EC%84%9C%EC%9A%B8%20%EB%A7%88%ED%8F%AC%EA%B5%AC%20%EC%84%9C%EA%B5%90%EB%8F%99%20490" TargetMode="External"/><Relationship Id="rId187" Type="http://schemas.openxmlformats.org/officeDocument/2006/relationships/hyperlink" Target="https://map.kakao.com/?q=%EF%BB%BF%EC%84%9C%EC%9A%B8%20%EB%A7%88%ED%8F%AC%EA%B5%AC%20%ED%95%A9%EC%A0%95%EB%8F%99%20434-42" TargetMode="External"/><Relationship Id="rId352" Type="http://schemas.openxmlformats.org/officeDocument/2006/relationships/hyperlink" Target="https://map.kakao.com/?q=%EF%BB%BF%EC%84%9C%EC%9A%B8%20%EB%A7%88%ED%8F%AC%EA%B5%AC%20%EC%B0%BD%EC%A0%84%EB%8F%99%20444" TargetMode="External"/><Relationship Id="rId394" Type="http://schemas.openxmlformats.org/officeDocument/2006/relationships/hyperlink" Target="https://map.kakao.com/?q=%EF%BB%BF%EC%84%9C%EC%9A%B8%20%EB%A7%88%ED%8F%AC%EA%B5%AC%20%EC%8B%A0%EC%A0%95%EB%8F%99%2030" TargetMode="External"/><Relationship Id="rId408" Type="http://schemas.openxmlformats.org/officeDocument/2006/relationships/hyperlink" Target="https://map.kakao.com/?q=%EF%BB%BF%EC%84%9C%EC%9A%B8%20%EB%A7%88%ED%8F%AC%EA%B5%AC%20%EC%8B%A0%EC%A0%95%EB%8F%99%2030" TargetMode="External"/><Relationship Id="rId212" Type="http://schemas.openxmlformats.org/officeDocument/2006/relationships/hyperlink" Target="https://map.kakao.com/?q=%EF%BB%BF%EC%84%9C%EC%9A%B8%20%EB%A7%88%ED%8F%AC%EA%B5%AC%20%EC%97%B0%EB%82%A8%EB%8F%99%20504-7" TargetMode="External"/><Relationship Id="rId254" Type="http://schemas.openxmlformats.org/officeDocument/2006/relationships/hyperlink" Target="https://map.kakao.com/?q=%EF%BB%BF%EC%84%9C%EC%9A%B8%20%EB%A7%88%ED%8F%AC%EA%B5%AC%20%EB%8F%99%EA%B5%90%EB%8F%99%20165-8" TargetMode="External"/><Relationship Id="rId49" Type="http://schemas.openxmlformats.org/officeDocument/2006/relationships/hyperlink" Target="https://map.kakao.com/?q=%EF%BB%BF%EC%84%9C%EC%9A%B8%20%EB%A7%88%ED%8F%AC%EA%B5%AC%20%ED%95%A9%EC%A0%95%EB%8F%99%20473" TargetMode="External"/><Relationship Id="rId114" Type="http://schemas.openxmlformats.org/officeDocument/2006/relationships/hyperlink" Target="https://map.kakao.com/?q=%EF%BB%BF%EC%84%9C%EC%9A%B8%20%EB%A7%88%ED%8F%AC%EA%B5%AC%20%EC%84%9C%EA%B5%90%EB%8F%99%20486" TargetMode="External"/><Relationship Id="rId296" Type="http://schemas.openxmlformats.org/officeDocument/2006/relationships/hyperlink" Target="https://map.kakao.com/?q=%EF%BB%BF%EC%84%9C%EC%9A%B8%20%EC%84%9C%EB%8C%80%EB%AC%B8%EA%B5%AC%20%EC%B0%BD%EC%B2%9C%EB%8F%99%2029-81" TargetMode="External"/><Relationship Id="rId60" Type="http://schemas.openxmlformats.org/officeDocument/2006/relationships/hyperlink" Target="https://map.kakao.com/?q=%EF%BB%BF%EC%84%9C%EC%9A%B8%20%EB%A7%88%ED%8F%AC%EA%B5%AC%20%EC%84%9C%EA%B5%90%EB%8F%99%20490" TargetMode="External"/><Relationship Id="rId156" Type="http://schemas.openxmlformats.org/officeDocument/2006/relationships/hyperlink" Target="https://map.kakao.com/?q=%EF%BB%BF%EC%84%9C%EC%9A%B8%20%EB%A7%88%ED%8F%AC%EA%B5%AC%20%ED%95%A9%EC%A0%95%EB%8F%99%20398-10" TargetMode="External"/><Relationship Id="rId198" Type="http://schemas.openxmlformats.org/officeDocument/2006/relationships/hyperlink" Target="https://map.kakao.com/?q=%EF%BB%BF%EC%84%9C%EC%9A%B8%20%EB%A7%88%ED%8F%AC%EA%B5%AC%20%EC%8B%A0%EC%88%98%EB%8F%99%20462" TargetMode="External"/><Relationship Id="rId321" Type="http://schemas.openxmlformats.org/officeDocument/2006/relationships/hyperlink" Target="https://map.kakao.com/?q=%EF%BB%BF%EC%84%9C%EC%9A%B8%20%EB%A7%88%ED%8F%AC%EA%B5%AC%20%EC%84%9C%EA%B5%90%EB%8F%99%20361-23" TargetMode="External"/><Relationship Id="rId363" Type="http://schemas.openxmlformats.org/officeDocument/2006/relationships/hyperlink" Target="https://map.kakao.com/?q=%EF%BB%BF%EC%84%9C%EC%9A%B8%20%EB%A7%88%ED%8F%AC%EA%B5%AC%20%EC%8B%A0%EC%88%98%EB%8F%99%20462" TargetMode="External"/><Relationship Id="rId419" Type="http://schemas.openxmlformats.org/officeDocument/2006/relationships/hyperlink" Target="https://map.kakao.com/?q=%EF%BB%BF%EC%84%9C%EC%9A%B8%20%EB%A7%88%ED%8F%AC%EA%B5%AC%20%EC%84%9C%EA%B5%90%EB%8F%99%20486" TargetMode="External"/><Relationship Id="rId223" Type="http://schemas.openxmlformats.org/officeDocument/2006/relationships/hyperlink" Target="https://map.kakao.com/?q=%EF%BB%BF%EC%84%9C%EC%9A%B8%20%EB%A7%88%ED%8F%AC%EA%B5%AC%20%EC%84%9C%EA%B5%90%EB%8F%99%20366-4" TargetMode="External"/><Relationship Id="rId430" Type="http://schemas.openxmlformats.org/officeDocument/2006/relationships/hyperlink" Target="https://map.kakao.com/?q=%EF%BB%BF%EC%84%9C%EC%9A%B8%20%EB%A7%88%ED%8F%AC%EA%B5%AC%20%EC%B0%BD%EC%A0%84%EB%8F%99%20444" TargetMode="External"/><Relationship Id="rId18" Type="http://schemas.openxmlformats.org/officeDocument/2006/relationships/hyperlink" Target="https://map.kakao.com/?q=%EF%BB%BF%EC%84%9C%EC%9A%B8%20%EB%A7%88%ED%8F%AC%EA%B5%AC%20%EB%8F%99%EA%B5%90%EB%8F%99%20165-8" TargetMode="External"/><Relationship Id="rId265" Type="http://schemas.openxmlformats.org/officeDocument/2006/relationships/hyperlink" Target="https://map.kakao.com/?q=%EF%BB%BF%EC%84%9C%EC%9A%B8%20%EB%A7%88%ED%8F%AC%EA%B5%AC%20%EC%84%9C%EA%B5%90%EB%8F%99%20372-8" TargetMode="External"/><Relationship Id="rId125" Type="http://schemas.openxmlformats.org/officeDocument/2006/relationships/hyperlink" Target="https://map.kakao.com/?q=%EF%BB%BF%EC%84%9C%EC%9A%B8%20%EB%A7%88%ED%8F%AC%EA%B5%AC%20%EC%B0%BD%EC%A0%84%EB%8F%99%20444" TargetMode="External"/><Relationship Id="rId167" Type="http://schemas.openxmlformats.org/officeDocument/2006/relationships/hyperlink" Target="https://map.kakao.com/?q=%EF%BB%BF%EC%84%9C%EC%9A%B8%20%EB%A7%88%ED%8F%AC%EA%B5%AC%20%EC%84%9C%EA%B5%90%EB%8F%99%20490" TargetMode="External"/><Relationship Id="rId332" Type="http://schemas.openxmlformats.org/officeDocument/2006/relationships/hyperlink" Target="https://map.kakao.com/?q=%EF%BB%BF%EC%84%9C%EC%9A%B8%20%EB%A7%88%ED%8F%AC%EA%B5%AC%20%EC%84%9C%EA%B5%90%EB%8F%99%20366-26" TargetMode="External"/><Relationship Id="rId374" Type="http://schemas.openxmlformats.org/officeDocument/2006/relationships/hyperlink" Target="https://map.kakao.com/?q=%EF%BB%BF%EC%84%9C%EC%9A%B8%20%EB%A7%88%ED%8F%AC%EA%B5%AC%20%EC%84%9C%EA%B5%90%EB%8F%99%20336-21" TargetMode="External"/><Relationship Id="rId71" Type="http://schemas.openxmlformats.org/officeDocument/2006/relationships/hyperlink" Target="https://map.kakao.com/?q=%EF%BB%BF%EC%84%9C%EC%9A%B8%20%EB%A7%88%ED%8F%AC%EA%B5%AC%20%EC%84%9C%EA%B5%90%EB%8F%99%20490" TargetMode="External"/><Relationship Id="rId92" Type="http://schemas.openxmlformats.org/officeDocument/2006/relationships/hyperlink" Target="https://map.kakao.com/?q=%EF%BB%BF%EC%84%9C%EC%9A%B8%20%EB%A7%88%ED%8F%AC%EA%B5%AC%20%EC%84%9C%EA%B5%90%EB%8F%99%20487" TargetMode="External"/><Relationship Id="rId213" Type="http://schemas.openxmlformats.org/officeDocument/2006/relationships/hyperlink" Target="https://map.kakao.com/?q=%EF%BB%BF%EC%84%9C%EC%9A%B8%20%EB%A7%88%ED%8F%AC%EA%B5%AC%20%EC%B0%BD%EC%A0%84%EB%8F%99%20444" TargetMode="External"/><Relationship Id="rId234" Type="http://schemas.openxmlformats.org/officeDocument/2006/relationships/hyperlink" Target="https://map.kakao.com/?q=%EF%BB%BF%EC%84%9C%EC%9A%B8%20%EB%A7%88%ED%8F%AC%EA%B5%AC%20%EC%84%9C%EA%B5%90%EB%8F%99%20490" TargetMode="External"/><Relationship Id="rId420" Type="http://schemas.openxmlformats.org/officeDocument/2006/relationships/hyperlink" Target="https://map.kakao.com/?q=%EF%BB%BF%EC%84%9C%EC%9A%B8%20%EB%A7%88%ED%8F%AC%EA%B5%AC%20%EC%84%9C%EA%B5%90%EB%8F%99%20486" TargetMode="External"/><Relationship Id="rId2" Type="http://schemas.openxmlformats.org/officeDocument/2006/relationships/hyperlink" Target="https://map.kakao.com/?q=%EF%BB%BF%EC%84%9C%EC%9A%B8%20%EB%A7%88%ED%8F%AC%EA%B5%AC%20%ED%95%A9%EC%A0%95%EB%8F%99%20367-35" TargetMode="External"/><Relationship Id="rId29" Type="http://schemas.openxmlformats.org/officeDocument/2006/relationships/hyperlink" Target="https://map.kakao.com/?q=%EF%BB%BF%EC%84%9C%EC%9A%B8%20%EC%98%81%EB%93%B1%ED%8F%AC%EA%B5%AC%20%EC%96%91%ED%8F%89%EB%8F%995%EA%B0%80%2076" TargetMode="External"/><Relationship Id="rId255" Type="http://schemas.openxmlformats.org/officeDocument/2006/relationships/hyperlink" Target="https://map.kakao.com/?q=%EF%BB%BF%EC%84%9C%EC%9A%B8%20%EB%A7%88%ED%8F%AC%EA%B5%AC%20%EC%84%9C%EA%B5%90%EB%8F%99%20487" TargetMode="External"/><Relationship Id="rId276" Type="http://schemas.openxmlformats.org/officeDocument/2006/relationships/hyperlink" Target="https://map.kakao.com/?q=%EF%BB%BF%EC%84%9C%EC%9A%B8%20%EB%A7%88%ED%8F%AC%EA%B5%AC%20%EC%97%B0%EB%82%A8%EB%8F%99%20573" TargetMode="External"/><Relationship Id="rId297" Type="http://schemas.openxmlformats.org/officeDocument/2006/relationships/hyperlink" Target="https://map.kakao.com/?q=%EF%BB%BF%EC%84%9C%EC%9A%B8%20%EB%A7%88%ED%8F%AC%EA%B5%AC%20%EB%85%B8%EA%B3%A0%EC%82%B0%EB%8F%99%2057-18" TargetMode="External"/><Relationship Id="rId441" Type="http://schemas.openxmlformats.org/officeDocument/2006/relationships/hyperlink" Target="https://map.kakao.com/?q=%EF%BB%BF%EC%84%9C%EC%9A%B8%20%EB%A7%88%ED%8F%AC%EA%B5%AC%20%EC%84%9C%EA%B5%90%EB%8F%99%20494" TargetMode="External"/><Relationship Id="rId40" Type="http://schemas.openxmlformats.org/officeDocument/2006/relationships/hyperlink" Target="https://map.kakao.com/?q=%EF%BB%BF%EC%84%9C%EC%9A%B8%20%EB%A7%88%ED%8F%AC%EA%B5%AC%20%EC%97%B0%EB%82%A8%EB%8F%99%20562-48" TargetMode="External"/><Relationship Id="rId115" Type="http://schemas.openxmlformats.org/officeDocument/2006/relationships/hyperlink" Target="https://map.kakao.com/?q=%EF%BB%BF%EC%84%9C%EC%9A%B8%20%EB%A7%88%ED%8F%AC%EA%B5%AC%20%EC%84%9C%EA%B5%90%EB%8F%99%20486" TargetMode="External"/><Relationship Id="rId136" Type="http://schemas.openxmlformats.org/officeDocument/2006/relationships/hyperlink" Target="https://map.kakao.com/?q=%EF%BB%BF%EC%84%9C%EC%9A%B8%20%EB%A7%88%ED%8F%AC%EA%B5%AC%20%EB%8F%99%EA%B5%90%EB%8F%99%20165-8" TargetMode="External"/><Relationship Id="rId157" Type="http://schemas.openxmlformats.org/officeDocument/2006/relationships/hyperlink" Target="https://map.kakao.com/?q=%EF%BB%BF%EC%84%9C%EC%9A%B8%20%EB%A7%88%ED%8F%AC%EA%B5%AC%20%EC%84%9C%EA%B5%90%EB%8F%99%20486" TargetMode="External"/><Relationship Id="rId178" Type="http://schemas.openxmlformats.org/officeDocument/2006/relationships/hyperlink" Target="https://map.kakao.com/?q=%EF%BB%BF%EC%84%9C%EC%9A%B8%20%EB%A7%88%ED%8F%AC%EA%B5%AC%20%EC%83%81%EC%88%98%EB%8F%99%20145-13" TargetMode="External"/><Relationship Id="rId301" Type="http://schemas.openxmlformats.org/officeDocument/2006/relationships/hyperlink" Target="https://map.kakao.com/?q=%EF%BB%BF%EC%84%9C%EC%9A%B8%20%EB%A7%88%ED%8F%AC%EA%B5%AC%20%EB%8F%99%EA%B5%90%EB%8F%99%20165-8" TargetMode="External"/><Relationship Id="rId322" Type="http://schemas.openxmlformats.org/officeDocument/2006/relationships/hyperlink" Target="https://map.kakao.com/?q=%EF%BB%BF%EC%84%9C%EC%9A%B8%20%EB%A7%88%ED%8F%AC%EA%B5%AC%20%EC%84%9C%EA%B5%90%EB%8F%99%20361-23" TargetMode="External"/><Relationship Id="rId343" Type="http://schemas.openxmlformats.org/officeDocument/2006/relationships/hyperlink" Target="https://map.kakao.com/?q=%EF%BB%BF%EC%84%9C%EC%9A%B8%20%EB%A7%88%ED%8F%AC%EA%B5%AC%20%EC%84%9C%EA%B5%90%EB%8F%99%20446-12" TargetMode="External"/><Relationship Id="rId364" Type="http://schemas.openxmlformats.org/officeDocument/2006/relationships/hyperlink" Target="https://map.kakao.com/?q=%EF%BB%BF%EC%84%9C%EC%9A%B8%20%EB%A7%88%ED%8F%AC%EA%B5%AC%20%EC%8B%A0%EC%88%98%EB%8F%99%20462" TargetMode="External"/><Relationship Id="rId61" Type="http://schemas.openxmlformats.org/officeDocument/2006/relationships/hyperlink" Target="https://map.kakao.com/?q=%EF%BB%BF%EC%84%9C%EC%9A%B8%20%EC%84%9C%EB%8C%80%EB%AC%B8%EA%B5%AC%20%EC%B0%BD%EC%B2%9C%EB%8F%99%2020-26" TargetMode="External"/><Relationship Id="rId82" Type="http://schemas.openxmlformats.org/officeDocument/2006/relationships/hyperlink" Target="https://map.kakao.com/?q=%EF%BB%BF%EC%84%9C%EC%9A%B8%20%EB%A7%88%ED%8F%AC%EA%B5%AC%20%EC%84%9C%EA%B5%90%EB%8F%99%20490" TargetMode="External"/><Relationship Id="rId199" Type="http://schemas.openxmlformats.org/officeDocument/2006/relationships/hyperlink" Target="https://map.kakao.com/?q=%EF%BB%BF%EC%84%9C%EC%9A%B8%20%EB%A7%88%ED%8F%AC%EA%B5%AC%20%EC%8B%A0%EC%88%98%EB%8F%99%20462" TargetMode="External"/><Relationship Id="rId203" Type="http://schemas.openxmlformats.org/officeDocument/2006/relationships/hyperlink" Target="https://map.kakao.com/?q=%EF%BB%BF%EC%84%9C%EC%9A%B8%20%EB%A7%88%ED%8F%AC%EA%B5%AC%20%EC%8B%A0%EC%88%98%EB%8F%99%20462" TargetMode="External"/><Relationship Id="rId385" Type="http://schemas.openxmlformats.org/officeDocument/2006/relationships/hyperlink" Target="https://map.kakao.com/?q=%EF%BB%BF%EC%84%9C%EC%9A%B8%20%EB%A7%88%ED%8F%AC%EA%B5%AC%20%EC%8B%A0%EC%88%98%EB%8F%99%2088-55" TargetMode="External"/><Relationship Id="rId19" Type="http://schemas.openxmlformats.org/officeDocument/2006/relationships/hyperlink" Target="https://map.kakao.com/?q=%EF%BB%BF%EC%84%9C%EC%9A%B8%20%EB%A7%88%ED%8F%AC%EA%B5%AC%20%EC%84%9C%EA%B5%90%EB%8F%99%20490" TargetMode="External"/><Relationship Id="rId224" Type="http://schemas.openxmlformats.org/officeDocument/2006/relationships/hyperlink" Target="https://map.kakao.com/?q=%EF%BB%BF%EC%84%9C%EC%9A%B8%20%EB%A7%88%ED%8F%AC%EA%B5%AC%20%EC%84%9C%EA%B5%90%EB%8F%99%20494" TargetMode="External"/><Relationship Id="rId245" Type="http://schemas.openxmlformats.org/officeDocument/2006/relationships/hyperlink" Target="https://map.kakao.com/?q=%EF%BB%BF%EC%84%9C%EC%9A%B8%20%EC%84%9C%EB%8C%80%EB%AC%B8%EA%B5%AC%20%EC%B0%BD%EC%B2%9C%EB%8F%99%2072-22" TargetMode="External"/><Relationship Id="rId266" Type="http://schemas.openxmlformats.org/officeDocument/2006/relationships/hyperlink" Target="https://map.kakao.com/?q=%EF%BB%BF%EC%84%9C%EC%9A%B8%20%EB%A7%88%ED%8F%AC%EA%B5%AC%20%EC%84%9C%EA%B5%90%EB%8F%99%20372-8" TargetMode="External"/><Relationship Id="rId287" Type="http://schemas.openxmlformats.org/officeDocument/2006/relationships/hyperlink" Target="https://map.kakao.com/?q=%EF%BB%BF%EC%84%9C%EC%9A%B8%20%EB%A7%88%ED%8F%AC%EA%B5%AC%20%EC%84%9C%EA%B5%90%EB%8F%99%20400-23" TargetMode="External"/><Relationship Id="rId410" Type="http://schemas.openxmlformats.org/officeDocument/2006/relationships/hyperlink" Target="https://map.kakao.com/?q=%EF%BB%BF%EC%84%9C%EC%9A%B8%20%EB%A7%88%ED%8F%AC%EA%B5%AC%20%EC%8B%A0%EC%A0%95%EB%8F%99%2030" TargetMode="External"/><Relationship Id="rId431" Type="http://schemas.openxmlformats.org/officeDocument/2006/relationships/hyperlink" Target="https://map.kakao.com/?q=%EF%BB%BF%EC%84%9C%EC%9A%B8%20%EB%A7%88%ED%8F%AC%EA%B5%AC%20%EC%84%9C%EA%B5%90%EB%8F%99%20486" TargetMode="External"/><Relationship Id="rId452" Type="http://schemas.openxmlformats.org/officeDocument/2006/relationships/hyperlink" Target="https://map.kakao.com/?q=%EF%BB%BF%EC%84%9C%EC%9A%B8%20%EB%A7%88%ED%8F%AC%EA%B5%AC%20%EC%84%9C%EA%B5%90%EB%8F%99%20494" TargetMode="External"/><Relationship Id="rId30" Type="http://schemas.openxmlformats.org/officeDocument/2006/relationships/hyperlink" Target="https://map.kakao.com/?q=%EF%BB%BF%EC%84%9C%EC%9A%B8%20%EB%A7%88%ED%8F%AC%EA%B5%AC%20%EB%8F%99%EA%B5%90%EB%8F%99%20165-8" TargetMode="External"/><Relationship Id="rId105" Type="http://schemas.openxmlformats.org/officeDocument/2006/relationships/hyperlink" Target="https://map.kakao.com/?q=%EF%BB%BF%EC%84%9C%EC%9A%B8%20%EB%A7%88%ED%8F%AC%EA%B5%AC%20%EB%85%B8%EA%B3%A0%EC%82%B0%EB%8F%99%2057-18" TargetMode="External"/><Relationship Id="rId126" Type="http://schemas.openxmlformats.org/officeDocument/2006/relationships/hyperlink" Target="https://map.kakao.com/?q=%EF%BB%BF%EC%84%9C%EC%9A%B8%20%EB%A7%88%ED%8F%AC%EA%B5%AC%20%EC%B0%BD%EC%A0%84%EB%8F%99%20444" TargetMode="External"/><Relationship Id="rId147" Type="http://schemas.openxmlformats.org/officeDocument/2006/relationships/hyperlink" Target="https://map.kakao.com/?q=%EF%BB%BF%EC%84%9C%EC%9A%B8%20%EB%A7%88%ED%8F%AC%EA%B5%AC%20%ED%95%A9%EC%A0%95%EB%8F%99%20428-34" TargetMode="External"/><Relationship Id="rId168" Type="http://schemas.openxmlformats.org/officeDocument/2006/relationships/hyperlink" Target="https://map.kakao.com/?q=%EF%BB%BF%EC%84%9C%EC%9A%B8%20%EB%A7%88%ED%8F%AC%EA%B5%AC%20%EC%84%9C%EA%B5%90%EB%8F%99%20403-22" TargetMode="External"/><Relationship Id="rId312" Type="http://schemas.openxmlformats.org/officeDocument/2006/relationships/hyperlink" Target="https://map.kakao.com/?q=%EF%BB%BF%EC%84%9C%EC%9A%B8%20%EB%A7%88%ED%8F%AC%EA%B5%AC%20%EC%84%9C%EA%B5%90%EB%8F%99%20487" TargetMode="External"/><Relationship Id="rId333" Type="http://schemas.openxmlformats.org/officeDocument/2006/relationships/hyperlink" Target="https://map.kakao.com/?q=%EF%BB%BF%EC%84%9C%EC%9A%B8%20%EB%A7%88%ED%8F%AC%EA%B5%AC%20%EC%84%9C%EA%B5%90%EB%8F%99%20486" TargetMode="External"/><Relationship Id="rId354" Type="http://schemas.openxmlformats.org/officeDocument/2006/relationships/hyperlink" Target="https://map.kakao.com/?q=%EF%BB%BF%EC%84%9C%EC%9A%B8%20%EB%A7%88%ED%8F%AC%EA%B5%AC%20%EC%84%9C%EA%B5%90%EB%8F%99%20486" TargetMode="External"/><Relationship Id="rId51" Type="http://schemas.openxmlformats.org/officeDocument/2006/relationships/hyperlink" Target="https://map.kakao.com/?q=%EF%BB%BF%EC%84%9C%EC%9A%B8%20%EC%84%9C%EB%8C%80%EB%AC%B8%EA%B5%AC%20%EC%B0%BD%EC%B2%9C%EB%8F%99%20490" TargetMode="External"/><Relationship Id="rId72" Type="http://schemas.openxmlformats.org/officeDocument/2006/relationships/hyperlink" Target="https://map.kakao.com/?q=%EF%BB%BF%EC%84%9C%EC%9A%B8%20%EC%98%81%EB%93%B1%ED%8F%AC%EA%B5%AC%20%EC%96%91%ED%8F%89%EB%8F%995%EA%B0%80%2092" TargetMode="External"/><Relationship Id="rId93" Type="http://schemas.openxmlformats.org/officeDocument/2006/relationships/hyperlink" Target="https://map.kakao.com/?q=%EF%BB%BF%EC%84%9C%EC%9A%B8%20%EB%A7%88%ED%8F%AC%EA%B5%AC%20%EC%84%9C%EA%B5%90%EB%8F%99%20487" TargetMode="External"/><Relationship Id="rId189" Type="http://schemas.openxmlformats.org/officeDocument/2006/relationships/hyperlink" Target="https://map.kakao.com/?q=%EF%BB%BF%EC%84%9C%EC%9A%B8%20%EB%A7%88%ED%8F%AC%EA%B5%AC%20%EB%8F%99%EA%B5%90%EB%8F%99%20155-27" TargetMode="External"/><Relationship Id="rId375" Type="http://schemas.openxmlformats.org/officeDocument/2006/relationships/hyperlink" Target="https://map.kakao.com/?q=%EF%BB%BF%EC%84%9C%EC%9A%B8%20%EB%A7%88%ED%8F%AC%EA%B5%AC%20%EC%84%9C%EA%B5%90%EB%8F%99%20336-21" TargetMode="External"/><Relationship Id="rId396" Type="http://schemas.openxmlformats.org/officeDocument/2006/relationships/hyperlink" Target="https://map.kakao.com/?q=%EF%BB%BF%EC%84%9C%EC%9A%B8%20%EB%A7%88%ED%8F%AC%EA%B5%AC%20%EC%84%9C%EA%B5%90%EB%8F%99%20486" TargetMode="External"/><Relationship Id="rId3" Type="http://schemas.openxmlformats.org/officeDocument/2006/relationships/hyperlink" Target="https://map.kakao.com/?q=%EF%BB%BF%EC%84%9C%EC%9A%B8%20%EB%A7%88%ED%8F%AC%EA%B5%AC%20%ED%95%A9%EC%A0%95%EB%8F%99%20428-56" TargetMode="External"/><Relationship Id="rId214" Type="http://schemas.openxmlformats.org/officeDocument/2006/relationships/hyperlink" Target="https://map.kakao.com/?q=%EF%BB%BF%EC%84%9C%EC%9A%B8%20%EB%A7%88%ED%8F%AC%EA%B5%AC%20%EC%84%9C%EA%B5%90%EB%8F%99%20490" TargetMode="External"/><Relationship Id="rId235" Type="http://schemas.openxmlformats.org/officeDocument/2006/relationships/hyperlink" Target="https://map.kakao.com/?q=%EF%BB%BF%EC%84%9C%EC%9A%B8%20%EB%A7%88%ED%8F%AC%EA%B5%AC%20%EC%84%9C%EA%B5%90%EB%8F%99%20494" TargetMode="External"/><Relationship Id="rId256" Type="http://schemas.openxmlformats.org/officeDocument/2006/relationships/hyperlink" Target="https://map.kakao.com/?q=%EF%BB%BF%EC%84%9C%EC%9A%B8%20%EB%A7%88%ED%8F%AC%EA%B5%AC%20%EC%84%9C%EA%B5%90%EB%8F%99%20487" TargetMode="External"/><Relationship Id="rId277" Type="http://schemas.openxmlformats.org/officeDocument/2006/relationships/hyperlink" Target="https://map.kakao.com/?q=%EF%BB%BF%EC%84%9C%EC%9A%B8%20%EB%A7%88%ED%8F%AC%EA%B5%AC%20%EC%84%9C%EA%B5%90%EB%8F%99%20490" TargetMode="External"/><Relationship Id="rId298" Type="http://schemas.openxmlformats.org/officeDocument/2006/relationships/hyperlink" Target="https://map.kakao.com/?q=%EF%BB%BF%EC%84%9C%EC%9A%B8%20%EB%A7%88%ED%8F%AC%EA%B5%AC%20%EC%97%B0%EB%82%A8%EB%8F%99%20239-4" TargetMode="External"/><Relationship Id="rId400" Type="http://schemas.openxmlformats.org/officeDocument/2006/relationships/hyperlink" Target="https://map.kakao.com/?q=%EF%BB%BF%EC%84%9C%EC%9A%B8%20%EB%A7%88%ED%8F%AC%EA%B5%AC%20%EC%84%9C%EA%B5%90%EB%8F%99%20486" TargetMode="External"/><Relationship Id="rId421" Type="http://schemas.openxmlformats.org/officeDocument/2006/relationships/hyperlink" Target="https://map.kakao.com/?q=%EF%BB%BF%EC%84%9C%EC%9A%B8%20%EC%84%9C%EB%8C%80%EB%AC%B8%EA%B5%AC%20%EC%B0%BD%EC%B2%9C%EB%8F%99%2029-81" TargetMode="External"/><Relationship Id="rId442" Type="http://schemas.openxmlformats.org/officeDocument/2006/relationships/hyperlink" Target="https://map.kakao.com/?q=%EF%BB%BF%EC%84%9C%EC%9A%B8%20%EB%A7%88%ED%8F%AC%EA%B5%AC%20%EC%84%9C%EA%B5%90%EB%8F%99%20494" TargetMode="External"/><Relationship Id="rId116" Type="http://schemas.openxmlformats.org/officeDocument/2006/relationships/hyperlink" Target="https://map.kakao.com/?q=%EF%BB%BF%EC%84%9C%EC%9A%B8%20%EB%A7%88%ED%8F%AC%EA%B5%AC%20%EB%8F%99%EA%B5%90%EB%8F%99%20165-8" TargetMode="External"/><Relationship Id="rId137" Type="http://schemas.openxmlformats.org/officeDocument/2006/relationships/hyperlink" Target="https://map.kakao.com/?q=%EF%BB%BF%EC%84%9C%EC%9A%B8%20%EB%A7%88%ED%8F%AC%EA%B5%AC%20%EB%8F%99%EA%B5%90%EB%8F%99%20165-8" TargetMode="External"/><Relationship Id="rId158" Type="http://schemas.openxmlformats.org/officeDocument/2006/relationships/hyperlink" Target="https://map.kakao.com/?q=%EF%BB%BF%EC%84%9C%EC%9A%B8%20%EB%A7%88%ED%8F%AC%EA%B5%AC%20%EC%84%9C%EA%B5%90%EB%8F%99%20486" TargetMode="External"/><Relationship Id="rId302" Type="http://schemas.openxmlformats.org/officeDocument/2006/relationships/hyperlink" Target="https://map.kakao.com/?q=%EF%BB%BF%EC%84%9C%EC%9A%B8%20%EB%A7%88%ED%8F%AC%EA%B5%AC%20%EC%84%9C%EA%B5%90%EB%8F%99%20486" TargetMode="External"/><Relationship Id="rId323" Type="http://schemas.openxmlformats.org/officeDocument/2006/relationships/hyperlink" Target="https://map.kakao.com/?q=%EF%BB%BF%EC%84%9C%EC%9A%B8%20%EB%A7%88%ED%8F%AC%EA%B5%AC%20%EC%84%9C%EA%B5%90%EB%8F%99%20361-23" TargetMode="External"/><Relationship Id="rId344" Type="http://schemas.openxmlformats.org/officeDocument/2006/relationships/hyperlink" Target="https://map.kakao.com/?q=%EF%BB%BF%EC%84%9C%EC%9A%B8%20%EB%A7%88%ED%8F%AC%EA%B5%AC%20%EC%84%9C%EA%B5%90%EB%8F%99%20446-12" TargetMode="External"/><Relationship Id="rId20" Type="http://schemas.openxmlformats.org/officeDocument/2006/relationships/hyperlink" Target="https://map.kakao.com/?q=%EF%BB%BF%EC%84%9C%EC%9A%B8%20%EC%98%81%EB%93%B1%ED%8F%AC%EA%B5%AC%20%EC%96%91%ED%8F%89%EB%8F%995%EA%B0%80%2076" TargetMode="External"/><Relationship Id="rId41" Type="http://schemas.openxmlformats.org/officeDocument/2006/relationships/hyperlink" Target="https://map.kakao.com/?q=%EF%BB%BF%EC%84%9C%EC%9A%B8%20%EB%A7%88%ED%8F%AC%EA%B5%AC%20%EC%84%9C%EA%B5%90%EB%8F%99%20490" TargetMode="External"/><Relationship Id="rId62" Type="http://schemas.openxmlformats.org/officeDocument/2006/relationships/hyperlink" Target="https://map.kakao.com/?q=%EF%BB%BF%EC%84%9C%EC%9A%B8%20%EB%A7%88%ED%8F%AC%EA%B5%AC%20%EC%84%9C%EA%B5%90%EB%8F%99%20494" TargetMode="External"/><Relationship Id="rId83" Type="http://schemas.openxmlformats.org/officeDocument/2006/relationships/hyperlink" Target="https://map.kakao.com/?q=%EF%BB%BF%EC%84%9C%EC%9A%B8%20%EB%A7%88%ED%8F%AC%EA%B5%AC%20%EC%84%9C%EA%B5%90%EB%8F%99%20490" TargetMode="External"/><Relationship Id="rId179" Type="http://schemas.openxmlformats.org/officeDocument/2006/relationships/hyperlink" Target="https://map.kakao.com/?q=%EF%BB%BF%EC%84%9C%EC%9A%B8%20%EB%A7%88%ED%8F%AC%EA%B5%AC%20%EC%8B%A0%EC%88%98%EB%8F%99%2081-93" TargetMode="External"/><Relationship Id="rId365" Type="http://schemas.openxmlformats.org/officeDocument/2006/relationships/hyperlink" Target="https://map.kakao.com/?q=%EF%BB%BF%EC%84%9C%EC%9A%B8%20%EB%A7%88%ED%8F%AC%EA%B5%AC%20%EC%8B%A0%EC%88%98%EB%8F%99%20462" TargetMode="External"/><Relationship Id="rId386" Type="http://schemas.openxmlformats.org/officeDocument/2006/relationships/hyperlink" Target="https://map.kakao.com/?q=%EF%BB%BF%EC%84%9C%EC%9A%B8%20%EB%A7%88%ED%8F%AC%EA%B5%AC%20%EC%84%9C%EA%B5%90%EB%8F%99%20494" TargetMode="External"/><Relationship Id="rId190" Type="http://schemas.openxmlformats.org/officeDocument/2006/relationships/hyperlink" Target="https://map.kakao.com/?q=%EF%BB%BF%EC%84%9C%EC%9A%B8%20%EB%A7%88%ED%8F%AC%EA%B5%AC%20%EC%B0%BD%EC%A0%84%EB%8F%99%20444" TargetMode="External"/><Relationship Id="rId204" Type="http://schemas.openxmlformats.org/officeDocument/2006/relationships/hyperlink" Target="https://map.kakao.com/?q=%EF%BB%BF%EC%84%9C%EC%9A%B8%20%EB%A7%88%ED%8F%AC%EA%B5%AC%20%EC%8B%A0%EC%88%98%EB%8F%99%20462" TargetMode="External"/><Relationship Id="rId225" Type="http://schemas.openxmlformats.org/officeDocument/2006/relationships/hyperlink" Target="https://map.kakao.com/?q=%EF%BB%BF%EC%84%9C%EC%9A%B8%20%EB%A7%88%ED%8F%AC%EA%B5%AC%20%EC%84%9C%EA%B5%90%EB%8F%99%20490" TargetMode="External"/><Relationship Id="rId246" Type="http://schemas.openxmlformats.org/officeDocument/2006/relationships/hyperlink" Target="https://map.kakao.com/?q=%EF%BB%BF%EC%84%9C%EC%9A%B8%20%EB%A7%88%ED%8F%AC%EA%B5%AC%20%ED%95%A9%EC%A0%95%EB%8F%99%20473" TargetMode="External"/><Relationship Id="rId267" Type="http://schemas.openxmlformats.org/officeDocument/2006/relationships/hyperlink" Target="https://map.kakao.com/?q=%EF%BB%BF%EC%84%9C%EC%9A%B8%20%EB%A7%88%ED%8F%AC%EA%B5%AC%20%EC%84%9C%EA%B5%90%EB%8F%99%20372-8" TargetMode="External"/><Relationship Id="rId288" Type="http://schemas.openxmlformats.org/officeDocument/2006/relationships/hyperlink" Target="https://map.kakao.com/?q=%EF%BB%BF%EC%84%9C%EC%9A%B8%20%EB%A7%88%ED%8F%AC%EA%B5%AC%20%EC%84%9C%EA%B5%90%EB%8F%99%20400-23" TargetMode="External"/><Relationship Id="rId411" Type="http://schemas.openxmlformats.org/officeDocument/2006/relationships/hyperlink" Target="https://map.kakao.com/?q=%EF%BB%BF%EC%84%9C%EC%9A%B8%20%EB%A7%88%ED%8F%AC%EA%B5%AC%20%EC%8B%A0%EC%A0%95%EB%8F%99%2030" TargetMode="External"/><Relationship Id="rId432" Type="http://schemas.openxmlformats.org/officeDocument/2006/relationships/hyperlink" Target="https://map.kakao.com/?q=%EF%BB%BF%EC%84%9C%EC%9A%B8%20%EB%A7%88%ED%8F%AC%EA%B5%AC%20%EC%B0%BD%EC%A0%84%EB%8F%99%20444" TargetMode="External"/><Relationship Id="rId453" Type="http://schemas.openxmlformats.org/officeDocument/2006/relationships/hyperlink" Target="https://map.kakao.com/?q=%EF%BB%BF%EC%84%9C%EC%9A%B8%20%EB%A7%88%ED%8F%AC%EA%B5%AC%20%EB%8F%99%EA%B5%90%EB%8F%99%20166-11" TargetMode="External"/><Relationship Id="rId106" Type="http://schemas.openxmlformats.org/officeDocument/2006/relationships/hyperlink" Target="https://map.kakao.com/?q=%EF%BB%BF%EC%84%9C%EC%9A%B8%20%EB%A7%88%ED%8F%AC%EA%B5%AC%20%EC%83%81%EC%88%98%EB%8F%99%20402" TargetMode="External"/><Relationship Id="rId127" Type="http://schemas.openxmlformats.org/officeDocument/2006/relationships/hyperlink" Target="https://map.kakao.com/?q=%EF%BB%BF%EC%84%9C%EC%9A%B8%20%EC%84%9C%EB%8C%80%EB%AC%B8%EA%B5%AC%20%EC%B0%BD%EC%B2%9C%EB%8F%99%2029-81" TargetMode="External"/><Relationship Id="rId313" Type="http://schemas.openxmlformats.org/officeDocument/2006/relationships/hyperlink" Target="https://map.kakao.com/?q=%EF%BB%BF%EC%84%9C%EC%9A%B8%20%EB%A7%88%ED%8F%AC%EA%B5%AC%20%EC%84%9C%EA%B5%90%EB%8F%99%20487" TargetMode="External"/><Relationship Id="rId10" Type="http://schemas.openxmlformats.org/officeDocument/2006/relationships/hyperlink" Target="https://map.kakao.com/?q=%EF%BB%BF%EC%84%9C%EC%9A%B8%20%EB%A7%88%ED%8F%AC%EA%B5%AC%20%EC%84%9C%EA%B5%90%EB%8F%99%20486" TargetMode="External"/><Relationship Id="rId31" Type="http://schemas.openxmlformats.org/officeDocument/2006/relationships/hyperlink" Target="https://map.kakao.com/?q=%EF%BB%BF%EC%84%9C%EC%9A%B8%20%EB%A7%88%ED%8F%AC%EA%B5%AC%20%EB%8F%99%EA%B5%90%EB%8F%99%20165-8" TargetMode="External"/><Relationship Id="rId52" Type="http://schemas.openxmlformats.org/officeDocument/2006/relationships/hyperlink" Target="https://map.kakao.com/?q=%EF%BB%BF%EC%84%9C%EC%9A%B8%20%EC%84%9C%EB%8C%80%EB%AC%B8%EA%B5%AC%20%EC%B0%BD%EC%B2%9C%EB%8F%99%20490" TargetMode="External"/><Relationship Id="rId73" Type="http://schemas.openxmlformats.org/officeDocument/2006/relationships/hyperlink" Target="https://map.kakao.com/?q=%EF%BB%BF%EC%84%9C%EC%9A%B8%20%EB%A7%88%ED%8F%AC%EA%B5%AC%20%EC%84%9C%EA%B5%90%EB%8F%99%20394-25" TargetMode="External"/><Relationship Id="rId94" Type="http://schemas.openxmlformats.org/officeDocument/2006/relationships/hyperlink" Target="https://map.kakao.com/?q=%EF%BB%BF%EC%84%9C%EC%9A%B8%20%EC%84%9C%EB%8C%80%EB%AC%B8%EA%B5%AC%20%EC%B0%BD%EC%B2%9C%EB%8F%99%2029-81" TargetMode="External"/><Relationship Id="rId148" Type="http://schemas.openxmlformats.org/officeDocument/2006/relationships/hyperlink" Target="https://map.kakao.com/?q=%EF%BB%BF%EC%84%9C%EC%9A%B8%20%EB%A7%88%ED%8F%AC%EA%B5%AC%20%EC%8B%A0%EC%88%98%EB%8F%99%20462" TargetMode="External"/><Relationship Id="rId169" Type="http://schemas.openxmlformats.org/officeDocument/2006/relationships/hyperlink" Target="https://map.kakao.com/?q=%EF%BB%BF%EC%84%9C%EC%9A%B8%20%EB%A7%88%ED%8F%AC%EA%B5%AC%20%EC%84%9C%EA%B5%90%EB%8F%99%20482-22" TargetMode="External"/><Relationship Id="rId334" Type="http://schemas.openxmlformats.org/officeDocument/2006/relationships/hyperlink" Target="https://map.kakao.com/?q=%EF%BB%BF%EC%84%9C%EC%9A%B8%20%EB%A7%88%ED%8F%AC%EA%B5%AC%20%EC%84%9C%EA%B5%90%EB%8F%99%20486" TargetMode="External"/><Relationship Id="rId355" Type="http://schemas.openxmlformats.org/officeDocument/2006/relationships/hyperlink" Target="https://map.kakao.com/?q=%EF%BB%BF%EC%84%9C%EC%9A%B8%20%EB%A7%88%ED%8F%AC%EA%B5%AC%20%EC%B0%BD%EC%A0%84%EB%8F%99%20444" TargetMode="External"/><Relationship Id="rId376" Type="http://schemas.openxmlformats.org/officeDocument/2006/relationships/hyperlink" Target="https://map.kakao.com/?q=%EF%BB%BF%EC%84%9C%EC%9A%B8%20%EB%A7%88%ED%8F%AC%EA%B5%AC%20%EC%84%9C%EA%B5%90%EB%8F%99%20494" TargetMode="External"/><Relationship Id="rId397" Type="http://schemas.openxmlformats.org/officeDocument/2006/relationships/hyperlink" Target="https://map.kakao.com/?q=%EF%BB%BF%EC%84%9C%EC%9A%B8%20%EB%A7%88%ED%8F%AC%EA%B5%AC%20%EC%84%9C%EA%B5%90%EB%8F%99%20336-15" TargetMode="External"/><Relationship Id="rId4" Type="http://schemas.openxmlformats.org/officeDocument/2006/relationships/hyperlink" Target="https://map.kakao.com/?q=%EF%BB%BF%EC%84%9C%EC%9A%B8%20%EB%A7%88%ED%8F%AC%EA%B5%AC%20%ED%95%A9%EC%A0%95%EB%8F%99%20382-20" TargetMode="External"/><Relationship Id="rId180" Type="http://schemas.openxmlformats.org/officeDocument/2006/relationships/hyperlink" Target="https://map.kakao.com/?q=%EF%BB%BF%EC%84%9C%EC%9A%B8%20%EB%A7%88%ED%8F%AC%EA%B5%AC%20%EC%84%9C%EA%B5%90%EB%8F%99%20344-6" TargetMode="External"/><Relationship Id="rId215" Type="http://schemas.openxmlformats.org/officeDocument/2006/relationships/hyperlink" Target="https://map.kakao.com/?q=%EF%BB%BF%EC%84%9C%EC%9A%B8%20%EB%A7%88%ED%8F%AC%EA%B5%AC%20%EC%84%9C%EA%B5%90%EB%8F%99%20490" TargetMode="External"/><Relationship Id="rId236" Type="http://schemas.openxmlformats.org/officeDocument/2006/relationships/hyperlink" Target="https://map.kakao.com/?q=%EF%BB%BF%EC%84%9C%EC%9A%B8%20%EB%A7%88%ED%8F%AC%EA%B5%AC%20%EC%84%9C%EA%B5%90%EB%8F%99%20490" TargetMode="External"/><Relationship Id="rId257" Type="http://schemas.openxmlformats.org/officeDocument/2006/relationships/hyperlink" Target="https://map.kakao.com/?q=%EF%BB%BF%EC%84%9C%EC%9A%B8%20%EB%A7%88%ED%8F%AC%EA%B5%AC%20%EC%84%9C%EA%B5%90%EB%8F%99%20487" TargetMode="External"/><Relationship Id="rId278" Type="http://schemas.openxmlformats.org/officeDocument/2006/relationships/hyperlink" Target="https://map.kakao.com/?q=%EF%BB%BF%EC%84%9C%EC%9A%B8%20%EB%A7%88%ED%8F%AC%EA%B5%AC%20%EC%84%9C%EA%B5%90%EB%8F%99%20490" TargetMode="External"/><Relationship Id="rId401" Type="http://schemas.openxmlformats.org/officeDocument/2006/relationships/hyperlink" Target="https://map.kakao.com/?q=%EF%BB%BF%EC%84%9C%EC%9A%B8%20%EB%A7%88%ED%8F%AC%EA%B5%AC%20%EC%B0%BD%EC%A0%84%EB%8F%99%20442" TargetMode="External"/><Relationship Id="rId422" Type="http://schemas.openxmlformats.org/officeDocument/2006/relationships/hyperlink" Target="https://map.kakao.com/?q=%EF%BB%BF%EC%84%9C%EC%9A%B8%20%EB%A7%88%ED%8F%AC%EA%B5%AC%20%EC%84%9C%EA%B5%90%EB%8F%99%20494" TargetMode="External"/><Relationship Id="rId443" Type="http://schemas.openxmlformats.org/officeDocument/2006/relationships/hyperlink" Target="https://map.kakao.com/?q=%EF%BB%BF%EC%84%9C%EC%9A%B8%20%EB%A7%88%ED%8F%AC%EA%B5%AC%20%EC%84%9C%EA%B5%90%EB%8F%99%20494" TargetMode="External"/><Relationship Id="rId303" Type="http://schemas.openxmlformats.org/officeDocument/2006/relationships/hyperlink" Target="https://map.kakao.com/?q=%EF%BB%BF%EC%84%9C%EC%9A%B8%20%EB%A7%88%ED%8F%AC%EA%B5%AC%20%EC%84%9C%EA%B5%90%EB%8F%99%20487" TargetMode="External"/><Relationship Id="rId42" Type="http://schemas.openxmlformats.org/officeDocument/2006/relationships/hyperlink" Target="https://map.kakao.com/?q=%EF%BB%BF%EC%84%9C%EC%9A%B8%20%EB%A7%88%ED%8F%AC%EA%B5%AC%20%ED%95%A9%EC%A0%95%EB%8F%99%20473" TargetMode="External"/><Relationship Id="rId84" Type="http://schemas.openxmlformats.org/officeDocument/2006/relationships/hyperlink" Target="https://map.kakao.com/?q=%EF%BB%BF%EC%84%9C%EC%9A%B8%20%EB%A7%88%ED%8F%AC%EA%B5%AC%20%EC%84%9C%EA%B5%90%EB%8F%99%20494" TargetMode="External"/><Relationship Id="rId138" Type="http://schemas.openxmlformats.org/officeDocument/2006/relationships/hyperlink" Target="https://map.kakao.com/?q=%EF%BB%BF%EC%84%9C%EC%9A%B8%20%EB%A7%88%ED%8F%AC%EA%B5%AC%20%EC%97%B0%EB%82%A8%EB%8F%99%20240-33" TargetMode="External"/><Relationship Id="rId345" Type="http://schemas.openxmlformats.org/officeDocument/2006/relationships/hyperlink" Target="https://map.kakao.com/?q=%EF%BB%BF%EC%84%9C%EC%9A%B8%20%EC%84%9C%EB%8C%80%EB%AC%B8%EA%B5%AC%20%EC%97%B0%ED%9D%AC%EB%8F%99%20133-26" TargetMode="External"/><Relationship Id="rId387" Type="http://schemas.openxmlformats.org/officeDocument/2006/relationships/hyperlink" Target="https://map.kakao.com/?q=%EF%BB%BF%EC%84%9C%EC%9A%B8%20%EB%A7%88%ED%8F%AC%EA%B5%AC%20%EC%84%9C%EA%B5%90%EB%8F%99%20494" TargetMode="External"/><Relationship Id="rId191" Type="http://schemas.openxmlformats.org/officeDocument/2006/relationships/hyperlink" Target="https://map.kakao.com/?q=%EF%BB%BF%EC%84%9C%EC%9A%B8%20%EB%A7%88%ED%8F%AC%EA%B5%AC%20%EC%B0%BD%EC%A0%84%EB%8F%99%20444" TargetMode="External"/><Relationship Id="rId205" Type="http://schemas.openxmlformats.org/officeDocument/2006/relationships/hyperlink" Target="https://map.kakao.com/?q=%EF%BB%BF%EC%84%9C%EC%9A%B8%20%EB%A7%88%ED%8F%AC%EA%B5%AC%20%EC%8B%A0%EC%88%98%EB%8F%99%20462" TargetMode="External"/><Relationship Id="rId247" Type="http://schemas.openxmlformats.org/officeDocument/2006/relationships/hyperlink" Target="https://map.kakao.com/?q=%EF%BB%BF%EC%84%9C%EC%9A%B8%20%EB%A7%88%ED%8F%AC%EA%B5%AC%20%ED%95%A9%EC%A0%95%EB%8F%99%20473" TargetMode="External"/><Relationship Id="rId412" Type="http://schemas.openxmlformats.org/officeDocument/2006/relationships/hyperlink" Target="https://map.kakao.com/?q=%EF%BB%BF%EC%84%9C%EC%9A%B8%20%EB%A7%88%ED%8F%AC%EA%B5%AC%20%EC%8B%A0%EC%A0%95%EB%8F%99%2030" TargetMode="External"/><Relationship Id="rId107" Type="http://schemas.openxmlformats.org/officeDocument/2006/relationships/hyperlink" Target="https://map.kakao.com/?q=%EF%BB%BF%EC%84%9C%EC%9A%B8%20%EB%A7%88%ED%8F%AC%EA%B5%AC%20%EB%8F%99%EA%B5%90%EB%8F%99%20165-8" TargetMode="External"/><Relationship Id="rId289" Type="http://schemas.openxmlformats.org/officeDocument/2006/relationships/hyperlink" Target="https://map.kakao.com/?q=%EF%BB%BF%EC%84%9C%EC%9A%B8%20%EB%A7%88%ED%8F%AC%EA%B5%AC%20%EC%84%9C%EA%B5%90%EB%8F%99%20490" TargetMode="External"/><Relationship Id="rId454" Type="http://schemas.openxmlformats.org/officeDocument/2006/relationships/drawing" Target="../drawings/drawing2.xml"/><Relationship Id="rId11" Type="http://schemas.openxmlformats.org/officeDocument/2006/relationships/hyperlink" Target="https://map.kakao.com/?q=%EF%BB%BF%EC%84%9C%EC%9A%B8%20%EB%A7%88%ED%8F%AC%EA%B5%AC%20%EB%A7%9D%EC%9B%90%EB%8F%99%20384-25" TargetMode="External"/><Relationship Id="rId53" Type="http://schemas.openxmlformats.org/officeDocument/2006/relationships/hyperlink" Target="https://map.kakao.com/?q=%EF%BB%BF%EC%84%9C%EC%9A%B8%20%EC%84%9C%EB%8C%80%EB%AC%B8%EA%B5%AC%20%EC%B0%BD%EC%B2%9C%EB%8F%99%2020-26" TargetMode="External"/><Relationship Id="rId149" Type="http://schemas.openxmlformats.org/officeDocument/2006/relationships/hyperlink" Target="https://map.kakao.com/?q=%EF%BB%BF%EC%84%9C%EC%9A%B8%20%EB%A7%88%ED%8F%AC%EA%B5%AC%20%EC%97%B0%EB%82%A8%EB%8F%99%20370-1" TargetMode="External"/><Relationship Id="rId314" Type="http://schemas.openxmlformats.org/officeDocument/2006/relationships/hyperlink" Target="https://map.kakao.com/?q=%EF%BB%BF%EC%84%9C%EC%9A%B8%20%EB%A7%88%ED%8F%AC%EA%B5%AC%20%EC%B0%BD%EC%A0%84%EB%8F%99%20444" TargetMode="External"/><Relationship Id="rId356" Type="http://schemas.openxmlformats.org/officeDocument/2006/relationships/hyperlink" Target="https://map.kakao.com/?q=%EF%BB%BF%EC%84%9C%EC%9A%B8%20%EB%A7%88%ED%8F%AC%EA%B5%AC%20%EC%B0%BD%EC%A0%84%EB%8F%99%20439" TargetMode="External"/><Relationship Id="rId398" Type="http://schemas.openxmlformats.org/officeDocument/2006/relationships/hyperlink" Target="https://map.kakao.com/?q=%EF%BB%BF%EC%84%9C%EC%9A%B8%20%EB%A7%88%ED%8F%AC%EA%B5%AC%20%EC%B0%BD%EC%A0%84%EB%8F%99%20444" TargetMode="External"/><Relationship Id="rId95" Type="http://schemas.openxmlformats.org/officeDocument/2006/relationships/hyperlink" Target="https://map.kakao.com/?q=%EF%BB%BF%EC%84%9C%EC%9A%B8%20%EB%A7%88%ED%8F%AC%EA%B5%AC%20%EB%8F%99%EA%B5%90%EB%8F%99%20165-8" TargetMode="External"/><Relationship Id="rId160" Type="http://schemas.openxmlformats.org/officeDocument/2006/relationships/hyperlink" Target="https://map.kakao.com/?q=%EF%BB%BF%EC%84%9C%EC%9A%B8%20%EB%A7%88%ED%8F%AC%EA%B5%AC%20%EC%84%9C%EA%B5%90%EB%8F%99%20487" TargetMode="External"/><Relationship Id="rId216" Type="http://schemas.openxmlformats.org/officeDocument/2006/relationships/hyperlink" Target="https://map.kakao.com/?q=%EF%BB%BF%EC%84%9C%EC%9A%B8%20%EB%A7%88%ED%8F%AC%EA%B5%AC%20%ED%95%A9%EC%A0%95%EB%8F%99%20472" TargetMode="External"/><Relationship Id="rId423" Type="http://schemas.openxmlformats.org/officeDocument/2006/relationships/hyperlink" Target="https://map.kakao.com/?q=%EF%BB%BF%EC%84%9C%EC%9A%B8%20%EB%A7%88%ED%8F%AC%EA%B5%AC%20%EC%84%9C%EA%B5%90%EB%8F%99%20494" TargetMode="External"/><Relationship Id="rId258" Type="http://schemas.openxmlformats.org/officeDocument/2006/relationships/hyperlink" Target="https://map.kakao.com/?q=%EF%BB%BF%EC%84%9C%EC%9A%B8%20%EB%A7%88%ED%8F%AC%EA%B5%AC%20%EC%84%9C%EA%B5%90%EB%8F%99%20487" TargetMode="External"/><Relationship Id="rId22" Type="http://schemas.openxmlformats.org/officeDocument/2006/relationships/hyperlink" Target="https://map.kakao.com/?q=%EF%BB%BF%EC%84%9C%EC%9A%B8%20%EC%98%81%EB%93%B1%ED%8F%AC%EA%B5%AC%20%EC%96%91%ED%8F%89%EB%8F%995%EA%B0%80%2076" TargetMode="External"/><Relationship Id="rId64" Type="http://schemas.openxmlformats.org/officeDocument/2006/relationships/hyperlink" Target="https://map.kakao.com/?q=%EF%BB%BF%EC%84%9C%EC%9A%B8%20%EB%A7%88%ED%8F%AC%EA%B5%AC%20%EC%84%9C%EA%B5%90%EB%8F%99%20494" TargetMode="External"/><Relationship Id="rId118" Type="http://schemas.openxmlformats.org/officeDocument/2006/relationships/hyperlink" Target="https://map.kakao.com/?q=%EF%BB%BF%EC%84%9C%EC%9A%B8%20%EB%A7%88%ED%8F%AC%EA%B5%AC%20%EB%8F%99%EA%B5%90%EB%8F%99%20165-8" TargetMode="External"/><Relationship Id="rId325" Type="http://schemas.openxmlformats.org/officeDocument/2006/relationships/hyperlink" Target="https://map.kakao.com/?q=%EF%BB%BF%EC%84%9C%EC%9A%B8%20%EB%A7%88%ED%8F%AC%EA%B5%AC%20%EC%8B%A0%EC%88%98%EB%8F%99%20462" TargetMode="External"/><Relationship Id="rId367" Type="http://schemas.openxmlformats.org/officeDocument/2006/relationships/hyperlink" Target="https://map.kakao.com/?q=%EF%BB%BF%EC%84%9C%EC%9A%B8%20%EB%A7%88%ED%8F%AC%EA%B5%AC%20%EC%B0%BD%EC%A0%84%EB%8F%99%20444" TargetMode="External"/><Relationship Id="rId171" Type="http://schemas.openxmlformats.org/officeDocument/2006/relationships/hyperlink" Target="https://map.kakao.com/?q=%EF%BB%BF%EC%84%9C%EC%9A%B8%20%EB%A7%88%ED%8F%AC%EA%B5%AC%20%EC%83%81%EC%88%98%EB%8F%99%20145-13" TargetMode="External"/><Relationship Id="rId227" Type="http://schemas.openxmlformats.org/officeDocument/2006/relationships/hyperlink" Target="https://map.kakao.com/?q=%EF%BB%BF%EC%84%9C%EC%9A%B8%20%EB%A7%88%ED%8F%AC%EA%B5%AC%20%EC%84%9C%EA%B5%90%EB%8F%99%20358-94" TargetMode="External"/><Relationship Id="rId269" Type="http://schemas.openxmlformats.org/officeDocument/2006/relationships/hyperlink" Target="https://map.kakao.com/?q=%EF%BB%BF%EC%84%9C%EC%9A%B8%20%EB%A7%88%ED%8F%AC%EA%B5%AC%20%EC%84%9C%EA%B5%90%EB%8F%99%20372-8" TargetMode="External"/><Relationship Id="rId434" Type="http://schemas.openxmlformats.org/officeDocument/2006/relationships/hyperlink" Target="https://map.kakao.com/?q=%EF%BB%BF%EC%84%9C%EC%9A%B8%20%EB%A7%88%ED%8F%AC%EA%B5%AC%20%EC%84%9C%EA%B5%90%EB%8F%99%20494" TargetMode="External"/><Relationship Id="rId33" Type="http://schemas.openxmlformats.org/officeDocument/2006/relationships/hyperlink" Target="https://map.kakao.com/?q=%EF%BB%BF%EC%84%9C%EC%9A%B8%20%EB%A7%88%ED%8F%AC%EA%B5%AC%20%EB%8F%99%EA%B5%90%EB%8F%99%20165-8" TargetMode="External"/><Relationship Id="rId129" Type="http://schemas.openxmlformats.org/officeDocument/2006/relationships/hyperlink" Target="https://map.kakao.com/?q=%EF%BB%BF%EC%84%9C%EC%9A%B8%20%EB%A7%88%ED%8F%AC%EA%B5%AC%20%EC%84%9C%EA%B5%90%EB%8F%99%20486" TargetMode="External"/><Relationship Id="rId280" Type="http://schemas.openxmlformats.org/officeDocument/2006/relationships/hyperlink" Target="https://map.kakao.com/?q=%EF%BB%BF%EC%84%9C%EC%9A%B8%20%EB%A7%88%ED%8F%AC%EA%B5%AC%20%ED%95%A9%EC%A0%95%EB%8F%99%20472" TargetMode="External"/><Relationship Id="rId336" Type="http://schemas.openxmlformats.org/officeDocument/2006/relationships/hyperlink" Target="https://map.kakao.com/?q=%EF%BB%BF%EC%84%9C%EC%9A%B8%20%EB%A7%88%ED%8F%AC%EA%B5%AC%20%EC%84%9C%EA%B5%90%EB%8F%99%20487" TargetMode="External"/><Relationship Id="rId75" Type="http://schemas.openxmlformats.org/officeDocument/2006/relationships/hyperlink" Target="https://map.kakao.com/?q=%EF%BB%BF%EC%84%9C%EC%9A%B8%20%EB%A7%88%ED%8F%AC%EA%B5%AC%20%EC%84%9C%EA%B5%90%EB%8F%99%20494" TargetMode="External"/><Relationship Id="rId140" Type="http://schemas.openxmlformats.org/officeDocument/2006/relationships/hyperlink" Target="https://map.kakao.com/?q=%EF%BB%BF%EC%84%9C%EC%9A%B8%20%EB%A7%88%ED%8F%AC%EA%B5%AC%20%EC%8B%A0%EC%88%98%EB%8F%99%20462" TargetMode="External"/><Relationship Id="rId182" Type="http://schemas.openxmlformats.org/officeDocument/2006/relationships/hyperlink" Target="https://map.kakao.com/?q=%EF%BB%BF%EC%84%9C%EC%9A%B8%20%EB%A7%88%ED%8F%AC%EA%B5%AC%20%EC%8B%A0%EC%88%98%EB%8F%99%2081-93" TargetMode="External"/><Relationship Id="rId378" Type="http://schemas.openxmlformats.org/officeDocument/2006/relationships/hyperlink" Target="https://map.kakao.com/?q=%EF%BB%BF%EC%84%9C%EC%9A%B8%20%EB%A7%88%ED%8F%AC%EA%B5%AC%20%EC%84%9C%EA%B5%90%EB%8F%99%20494" TargetMode="External"/><Relationship Id="rId403" Type="http://schemas.openxmlformats.org/officeDocument/2006/relationships/hyperlink" Target="https://map.kakao.com/?q=%EF%BB%BF%EC%84%9C%EC%9A%B8%20%EB%A7%88%ED%8F%AC%EA%B5%AC%20%EC%B0%BD%EC%A0%84%EB%8F%99%20442" TargetMode="External"/><Relationship Id="rId6" Type="http://schemas.openxmlformats.org/officeDocument/2006/relationships/hyperlink" Target="https://map.kakao.com/?q=%EF%BB%BF%EC%84%9C%EC%9A%B8%20%EB%A7%88%ED%8F%AC%EA%B5%AC%20%ED%95%A9%EC%A0%95%EB%8F%99%20440-10" TargetMode="External"/><Relationship Id="rId238" Type="http://schemas.openxmlformats.org/officeDocument/2006/relationships/hyperlink" Target="https://map.kakao.com/?q=%EF%BB%BF%EC%84%9C%EC%9A%B8%20%EB%A7%88%ED%8F%AC%EA%B5%AC%20%EC%84%9C%EA%B5%90%EB%8F%99%20490" TargetMode="External"/><Relationship Id="rId445" Type="http://schemas.openxmlformats.org/officeDocument/2006/relationships/hyperlink" Target="https://map.kakao.com/?q=%EF%BB%BF%EC%84%9C%EC%9A%B8%20%EB%A7%88%ED%8F%AC%EA%B5%AC%20%EB%A7%9D%EC%9B%90%EB%8F%99%20394-91" TargetMode="External"/><Relationship Id="rId291" Type="http://schemas.openxmlformats.org/officeDocument/2006/relationships/hyperlink" Target="https://map.kakao.com/?q=%EF%BB%BF%EC%84%9C%EC%9A%B8%20%EC%84%9C%EB%8C%80%EB%AC%B8%EA%B5%AC%20%EC%B0%BD%EC%B2%9C%EB%8F%99%2029-81" TargetMode="External"/><Relationship Id="rId305" Type="http://schemas.openxmlformats.org/officeDocument/2006/relationships/hyperlink" Target="https://map.kakao.com/?q=%EF%BB%BF%EC%84%9C%EC%9A%B8%20%EB%A7%88%ED%8F%AC%EA%B5%AC%20%EC%84%9C%EA%B5%90%EB%8F%99%20486" TargetMode="External"/><Relationship Id="rId347" Type="http://schemas.openxmlformats.org/officeDocument/2006/relationships/hyperlink" Target="https://map.kakao.com/?q=%EF%BB%BF%EC%84%9C%EC%9A%B8%20%EB%A7%88%ED%8F%AC%EA%B5%AC%20%EC%84%9C%EA%B5%90%EB%8F%99%20344-6" TargetMode="External"/><Relationship Id="rId44" Type="http://schemas.openxmlformats.org/officeDocument/2006/relationships/hyperlink" Target="https://map.kakao.com/?q=%EF%BB%BF%EC%84%9C%EC%9A%B8%20%EB%A7%88%ED%8F%AC%EA%B5%AC%20%ED%95%A9%EC%A0%95%EB%8F%99%20461-4" TargetMode="External"/><Relationship Id="rId86" Type="http://schemas.openxmlformats.org/officeDocument/2006/relationships/hyperlink" Target="https://map.kakao.com/?q=%EF%BB%BF%EC%84%9C%EC%9A%B8%20%EB%A7%88%ED%8F%AC%EA%B5%AC%20%EC%84%9C%EA%B5%90%EB%8F%99%20494" TargetMode="External"/><Relationship Id="rId151" Type="http://schemas.openxmlformats.org/officeDocument/2006/relationships/hyperlink" Target="https://map.kakao.com/?q=%EF%BB%BF%EC%84%9C%EC%9A%B8%20%EB%A7%88%ED%8F%AC%EA%B5%AC%20%EC%84%9C%EA%B5%90%EB%8F%99%20490" TargetMode="External"/><Relationship Id="rId389" Type="http://schemas.openxmlformats.org/officeDocument/2006/relationships/hyperlink" Target="https://map.kakao.com/?q=%EF%BB%BF%EC%84%9C%EC%9A%B8%20%EB%A7%88%ED%8F%AC%EA%B5%AC%20%EC%84%9C%EA%B5%90%EB%8F%99%20336-15" TargetMode="External"/><Relationship Id="rId193" Type="http://schemas.openxmlformats.org/officeDocument/2006/relationships/hyperlink" Target="https://map.kakao.com/?q=%EF%BB%BF%EC%84%9C%EC%9A%B8%20%EB%A7%88%ED%8F%AC%EA%B5%AC%20%EC%B0%BD%EC%A0%84%EB%8F%99%20444" TargetMode="External"/><Relationship Id="rId207" Type="http://schemas.openxmlformats.org/officeDocument/2006/relationships/hyperlink" Target="https://map.kakao.com/?q=%EF%BB%BF%EC%84%9C%EC%9A%B8%20%EB%A7%88%ED%8F%AC%EA%B5%AC%20%EC%B0%BD%EC%A0%84%EB%8F%99%20444" TargetMode="External"/><Relationship Id="rId249" Type="http://schemas.openxmlformats.org/officeDocument/2006/relationships/hyperlink" Target="https://map.kakao.com/?q=%EF%BB%BF%EC%84%9C%EC%9A%B8%20%EC%84%9C%EB%8C%80%EB%AC%B8%EA%B5%AC%20%EB%82%A8%EA%B0%80%EC%A2%8C%EB%8F%99%20150-32" TargetMode="External"/><Relationship Id="rId414" Type="http://schemas.openxmlformats.org/officeDocument/2006/relationships/hyperlink" Target="https://map.kakao.com/?q=%EF%BB%BF%EC%84%9C%EC%9A%B8%20%EB%A7%88%ED%8F%AC%EA%B5%AC%20%EC%8B%A0%EC%A0%95%EB%8F%99%2030" TargetMode="External"/><Relationship Id="rId456" Type="http://schemas.openxmlformats.org/officeDocument/2006/relationships/ctrlProp" Target="../ctrlProps/ctrlProp7.xml"/><Relationship Id="rId13" Type="http://schemas.openxmlformats.org/officeDocument/2006/relationships/hyperlink" Target="https://map.kakao.com/?q=%EF%BB%BF%EC%84%9C%EC%9A%B8%20%EB%A7%88%ED%8F%AC%EA%B5%AC%20%EC%84%9C%EA%B5%90%EB%8F%99%20486" TargetMode="External"/><Relationship Id="rId109" Type="http://schemas.openxmlformats.org/officeDocument/2006/relationships/hyperlink" Target="https://map.kakao.com/?q=%EF%BB%BF%EC%84%9C%EC%9A%B8%20%EB%A7%88%ED%8F%AC%EA%B5%AC%20%EB%8F%99%EA%B5%90%EB%8F%99%20165-8" TargetMode="External"/><Relationship Id="rId260" Type="http://schemas.openxmlformats.org/officeDocument/2006/relationships/hyperlink" Target="https://map.kakao.com/?q=%EF%BB%BF%EC%84%9C%EC%9A%B8%20%EB%A7%88%ED%8F%AC%EA%B5%AC%20%EC%84%9C%EA%B5%90%EB%8F%99%20487" TargetMode="External"/><Relationship Id="rId316" Type="http://schemas.openxmlformats.org/officeDocument/2006/relationships/hyperlink" Target="https://map.kakao.com/?q=%EF%BB%BF%EC%84%9C%EC%9A%B8%20%EC%84%9C%EB%8C%80%EB%AC%B8%EA%B5%AC%20%EC%B0%BD%EC%B2%9C%EB%8F%99%2029-81" TargetMode="External"/><Relationship Id="rId55" Type="http://schemas.openxmlformats.org/officeDocument/2006/relationships/hyperlink" Target="https://map.kakao.com/?q=%EF%BB%BF%EC%84%9C%EC%9A%B8%20%EB%A7%88%ED%8F%AC%EA%B5%AC%20%EC%84%9C%EA%B5%90%EB%8F%99%20490" TargetMode="External"/><Relationship Id="rId97" Type="http://schemas.openxmlformats.org/officeDocument/2006/relationships/hyperlink" Target="https://map.kakao.com/?q=%EF%BB%BF%EC%84%9C%EC%9A%B8%20%EB%A7%88%ED%8F%AC%EA%B5%AC%20%EB%8F%99%EA%B5%90%EB%8F%99%20165-8" TargetMode="External"/><Relationship Id="rId120" Type="http://schemas.openxmlformats.org/officeDocument/2006/relationships/hyperlink" Target="https://map.kakao.com/?q=%EF%BB%BF%EC%84%9C%EC%9A%B8%20%EB%A7%88%ED%8F%AC%EA%B5%AC%20%EC%84%9C%EA%B5%90%EB%8F%99%20487" TargetMode="External"/><Relationship Id="rId358" Type="http://schemas.openxmlformats.org/officeDocument/2006/relationships/hyperlink" Target="https://map.kakao.com/?q=%EF%BB%BF%EC%84%9C%EC%9A%B8%20%EB%A7%88%ED%8F%AC%EA%B5%AC%20%EC%8B%A0%EC%88%98%EB%8F%99%20462" TargetMode="External"/><Relationship Id="rId162" Type="http://schemas.openxmlformats.org/officeDocument/2006/relationships/hyperlink" Target="https://map.kakao.com/?q=%EF%BB%BF%EC%84%9C%EC%9A%B8%20%EB%A7%88%ED%8F%AC%EA%B5%AC%20%EC%84%9C%EA%B5%90%EB%8F%99%20403-22" TargetMode="External"/><Relationship Id="rId218" Type="http://schemas.openxmlformats.org/officeDocument/2006/relationships/hyperlink" Target="https://map.kakao.com/?q=%EF%BB%BF%EC%84%9C%EC%9A%B8%20%EB%A7%88%ED%8F%AC%EA%B5%AC%20%EC%84%9C%EA%B5%90%EB%8F%99%20366-4" TargetMode="External"/><Relationship Id="rId425" Type="http://schemas.openxmlformats.org/officeDocument/2006/relationships/hyperlink" Target="https://map.kakao.com/?q=%EF%BB%BF%EC%84%9C%EC%9A%B8%20%EB%A7%88%ED%8F%AC%EA%B5%AC%20%EC%84%9C%EA%B5%90%EB%8F%99%20494" TargetMode="External"/><Relationship Id="rId271" Type="http://schemas.openxmlformats.org/officeDocument/2006/relationships/hyperlink" Target="https://map.kakao.com/?q=%EF%BB%BF%EC%84%9C%EC%9A%B8%20%EB%A7%88%ED%8F%AC%EA%B5%AC%20%EC%97%B0%EB%82%A8%EB%8F%99%20478-18" TargetMode="External"/><Relationship Id="rId24" Type="http://schemas.openxmlformats.org/officeDocument/2006/relationships/hyperlink" Target="https://map.kakao.com/?q=%EF%BB%BF%EC%84%9C%EC%9A%B8%20%EB%A7%88%ED%8F%AC%EA%B5%AC%20%EB%8F%99%EA%B5%90%EB%8F%99%20165-8" TargetMode="External"/><Relationship Id="rId66" Type="http://schemas.openxmlformats.org/officeDocument/2006/relationships/hyperlink" Target="https://map.kakao.com/?q=%EF%BB%BF%EC%84%9C%EC%9A%B8%20%EB%A7%88%ED%8F%AC%EA%B5%AC%20%EC%84%9C%EA%B5%90%EB%8F%99%20490" TargetMode="External"/><Relationship Id="rId131" Type="http://schemas.openxmlformats.org/officeDocument/2006/relationships/hyperlink" Target="https://map.kakao.com/?q=%EF%BB%BF%EC%84%9C%EC%9A%B8%20%EB%A7%88%ED%8F%AC%EA%B5%AC%20%EC%84%9C%EA%B5%90%EB%8F%99%20474-23" TargetMode="External"/><Relationship Id="rId327" Type="http://schemas.openxmlformats.org/officeDocument/2006/relationships/hyperlink" Target="https://map.kakao.com/?q=%EF%BB%BF%EC%84%9C%EC%9A%B8%20%EB%A7%88%ED%8F%AC%EA%B5%AC%20%EC%84%9C%EA%B5%90%EB%8F%99%20361-23" TargetMode="External"/><Relationship Id="rId369" Type="http://schemas.openxmlformats.org/officeDocument/2006/relationships/hyperlink" Target="https://map.kakao.com/?q=%EF%BB%BF%EC%84%9C%EC%9A%B8%20%EB%A7%88%ED%8F%AC%EA%B5%AC%20%EC%84%9C%EA%B5%90%EB%8F%99%20494" TargetMode="External"/><Relationship Id="rId173" Type="http://schemas.openxmlformats.org/officeDocument/2006/relationships/hyperlink" Target="https://map.kakao.com/?q=%EF%BB%BF%EC%84%9C%EC%9A%B8%20%EB%A7%88%ED%8F%AC%EA%B5%AC%20%EC%8B%A0%EC%88%98%EB%8F%99%20453" TargetMode="External"/><Relationship Id="rId229" Type="http://schemas.openxmlformats.org/officeDocument/2006/relationships/hyperlink" Target="https://map.kakao.com/?q=%EF%BB%BF%EC%84%9C%EC%9A%B8%20%EB%A7%88%ED%8F%AC%EA%B5%AC%20%EC%84%9C%EA%B5%90%EB%8F%99%20358-94" TargetMode="External"/><Relationship Id="rId380" Type="http://schemas.openxmlformats.org/officeDocument/2006/relationships/hyperlink" Target="https://map.kakao.com/?q=%EF%BB%BF%EC%84%9C%EC%9A%B8%20%EB%A7%88%ED%8F%AC%EA%B5%AC%20%EC%8B%A0%EC%88%98%EB%8F%99%2088-55" TargetMode="External"/><Relationship Id="rId436" Type="http://schemas.openxmlformats.org/officeDocument/2006/relationships/hyperlink" Target="https://map.kakao.com/?q=%EF%BB%BF%EC%84%9C%EC%9A%B8%20%EB%A7%88%ED%8F%AC%EA%B5%AC%20%EC%B0%BD%EC%A0%84%EB%8F%99%20444" TargetMode="External"/><Relationship Id="rId240" Type="http://schemas.openxmlformats.org/officeDocument/2006/relationships/hyperlink" Target="https://map.kakao.com/?q=%EF%BB%BF%EC%84%9C%EC%9A%B8%20%EB%A7%88%ED%8F%AC%EA%B5%AC%20%EC%84%9C%EA%B5%90%EB%8F%99%20494" TargetMode="External"/><Relationship Id="rId35" Type="http://schemas.openxmlformats.org/officeDocument/2006/relationships/hyperlink" Target="https://map.kakao.com/?q=%EF%BB%BF%EC%84%9C%EC%9A%B8%20%EB%A7%88%ED%8F%AC%EA%B5%AC%20%EC%84%9C%EA%B5%90%EB%8F%99%20486" TargetMode="External"/><Relationship Id="rId77" Type="http://schemas.openxmlformats.org/officeDocument/2006/relationships/hyperlink" Target="https://map.kakao.com/?q=%EF%BB%BF%EC%84%9C%EC%9A%B8%20%EB%A7%88%ED%8F%AC%EA%B5%AC%20%EC%B0%BD%EC%A0%84%EB%8F%99%20444" TargetMode="External"/><Relationship Id="rId100" Type="http://schemas.openxmlformats.org/officeDocument/2006/relationships/hyperlink" Target="https://map.kakao.com/?q=%EF%BB%BF%EC%84%9C%EC%9A%B8%20%EB%A7%88%ED%8F%AC%EA%B5%AC%20%EC%84%9C%EA%B5%90%EB%8F%99%20490" TargetMode="External"/><Relationship Id="rId282" Type="http://schemas.openxmlformats.org/officeDocument/2006/relationships/hyperlink" Target="https://map.kakao.com/?q=%EF%BB%BF%EC%84%9C%EC%9A%B8%20%EB%A7%88%ED%8F%AC%EA%B5%AC%20%ED%95%A9%EC%A0%95%EB%8F%99%20472" TargetMode="External"/><Relationship Id="rId338" Type="http://schemas.openxmlformats.org/officeDocument/2006/relationships/hyperlink" Target="https://map.kakao.com/?q=%EF%BB%BF%EC%84%9C%EC%9A%B8%20%EB%A7%88%ED%8F%AC%EA%B5%AC%20%EC%97%B0%EB%82%A8%EB%8F%99%20245-67" TargetMode="External"/><Relationship Id="rId8" Type="http://schemas.openxmlformats.org/officeDocument/2006/relationships/hyperlink" Target="https://map.kakao.com/?q=%EF%BB%BF%EC%84%9C%EC%9A%B8%20%EC%84%9C%EB%8C%80%EB%AC%B8%EA%B5%AC%20%EC%B0%BD%EC%B2%9C%EB%8F%99%20318" TargetMode="External"/><Relationship Id="rId142" Type="http://schemas.openxmlformats.org/officeDocument/2006/relationships/hyperlink" Target="https://map.kakao.com/?q=%EF%BB%BF%EC%84%9C%EC%9A%B8%20%EB%A7%88%ED%8F%AC%EA%B5%AC%20%EC%B0%BD%EC%A0%84%EB%8F%99%20444" TargetMode="External"/><Relationship Id="rId184" Type="http://schemas.openxmlformats.org/officeDocument/2006/relationships/hyperlink" Target="https://map.kakao.com/?q=%EF%BB%BF%EC%84%9C%EC%9A%B8%20%EB%A7%88%ED%8F%AC%EA%B5%AC%20%EC%8B%A0%EC%88%98%EB%8F%99%20462" TargetMode="External"/><Relationship Id="rId391" Type="http://schemas.openxmlformats.org/officeDocument/2006/relationships/hyperlink" Target="https://map.kakao.com/?q=%EF%BB%BF%EC%84%9C%EC%9A%B8%20%EB%A7%88%ED%8F%AC%EA%B5%AC%20%EC%84%9C%EA%B5%90%EB%8F%99%20336-15" TargetMode="External"/><Relationship Id="rId405" Type="http://schemas.openxmlformats.org/officeDocument/2006/relationships/hyperlink" Target="https://map.kakao.com/?q=%EF%BB%BF%EC%84%9C%EC%9A%B8%20%EB%A7%88%ED%8F%AC%EA%B5%AC%20%EB%8F%99%EA%B5%90%EB%8F%99%20165-8" TargetMode="External"/><Relationship Id="rId447" Type="http://schemas.openxmlformats.org/officeDocument/2006/relationships/hyperlink" Target="https://map.kakao.com/?q=%EF%BB%BF%EC%84%9C%EC%9A%B8%20%EB%A7%88%ED%8F%AC%EA%B5%AC%20%EC%84%9C%EA%B5%90%EB%8F%99%20344-6" TargetMode="External"/><Relationship Id="rId251" Type="http://schemas.openxmlformats.org/officeDocument/2006/relationships/hyperlink" Target="https://map.kakao.com/?q=%EF%BB%BF%EC%84%9C%EC%9A%B8%20%EB%A7%88%ED%8F%AC%EA%B5%AC%20%EB%8F%99%EA%B5%90%EB%8F%99%20165-8" TargetMode="External"/><Relationship Id="rId46" Type="http://schemas.openxmlformats.org/officeDocument/2006/relationships/hyperlink" Target="https://map.kakao.com/?q=%EF%BB%BF%EC%84%9C%EC%9A%B8%20%EB%A7%88%ED%8F%AC%EA%B5%AC%20%EC%84%9C%EA%B5%90%EB%8F%99%20482-22" TargetMode="External"/><Relationship Id="rId293" Type="http://schemas.openxmlformats.org/officeDocument/2006/relationships/hyperlink" Target="https://map.kakao.com/?q=%EF%BB%BF%EC%84%9C%EC%9A%B8%20%EB%A7%88%ED%8F%AC%EA%B5%AC%20%EB%8F%99%EA%B5%90%EB%8F%99%20165-8" TargetMode="External"/><Relationship Id="rId307" Type="http://schemas.openxmlformats.org/officeDocument/2006/relationships/hyperlink" Target="https://map.kakao.com/?q=%EF%BB%BF%EC%84%9C%EC%9A%B8%20%EB%A7%88%ED%8F%AC%EA%B5%AC%20%EC%84%9C%EA%B5%90%EB%8F%99%20490" TargetMode="External"/><Relationship Id="rId349" Type="http://schemas.openxmlformats.org/officeDocument/2006/relationships/hyperlink" Target="https://map.kakao.com/?q=%EF%BB%BF%EC%84%9C%EC%9A%B8%20%EB%A7%88%ED%8F%AC%EA%B5%AC%20%EC%8B%A0%EC%88%98%EB%8F%99%20462" TargetMode="External"/><Relationship Id="rId88" Type="http://schemas.openxmlformats.org/officeDocument/2006/relationships/hyperlink" Target="https://map.kakao.com/?q=%EF%BB%BF%EC%84%9C%EC%9A%B8%20%EC%84%9C%EB%8C%80%EB%AC%B8%EA%B5%AC%20%EC%97%B0%ED%9D%AC%EB%8F%99%20125-11" TargetMode="External"/><Relationship Id="rId111" Type="http://schemas.openxmlformats.org/officeDocument/2006/relationships/hyperlink" Target="https://map.kakao.com/?q=%EF%BB%BF%EC%84%9C%EC%9A%B8%20%EB%A7%88%ED%8F%AC%EA%B5%AC%20%EC%84%9C%EA%B5%90%EB%8F%99%20487" TargetMode="External"/><Relationship Id="rId153" Type="http://schemas.openxmlformats.org/officeDocument/2006/relationships/hyperlink" Target="https://map.kakao.com/?q=%EF%BB%BF%EC%84%9C%EC%9A%B8%20%EB%A7%88%ED%8F%AC%EA%B5%AC%20%ED%95%A9%EC%A0%95%EB%8F%99%20473" TargetMode="External"/><Relationship Id="rId195" Type="http://schemas.openxmlformats.org/officeDocument/2006/relationships/hyperlink" Target="https://map.kakao.com/?q=%EF%BB%BF%EC%84%9C%EC%9A%B8%20%EB%A7%88%ED%8F%AC%EA%B5%AC%20%EC%84%9C%EA%B5%90%EB%8F%99%20372-8" TargetMode="External"/><Relationship Id="rId209" Type="http://schemas.openxmlformats.org/officeDocument/2006/relationships/hyperlink" Target="https://map.kakao.com/?q=%EF%BB%BF%EC%84%9C%EC%9A%B8%20%EB%A7%88%ED%8F%AC%EA%B5%AC%20%EC%84%9C%EA%B5%90%EB%8F%99%20494" TargetMode="External"/><Relationship Id="rId360" Type="http://schemas.openxmlformats.org/officeDocument/2006/relationships/hyperlink" Target="https://map.kakao.com/?q=%EF%BB%BF%EC%84%9C%EC%9A%B8%20%EB%A7%88%ED%8F%AC%EA%B5%AC%20%EC%8B%A0%EC%88%98%EB%8F%99%20462" TargetMode="External"/><Relationship Id="rId416" Type="http://schemas.openxmlformats.org/officeDocument/2006/relationships/hyperlink" Target="https://map.kakao.com/?q=%EF%BB%BF%EC%84%9C%EC%9A%B8%20%EB%A7%88%ED%8F%AC%EA%B5%AC%20%EC%8B%A0%EC%A0%95%EB%8F%99%2030" TargetMode="External"/><Relationship Id="rId220" Type="http://schemas.openxmlformats.org/officeDocument/2006/relationships/hyperlink" Target="https://map.kakao.com/?q=%EF%BB%BF%EC%84%9C%EC%9A%B8%20%EB%A7%88%ED%8F%AC%EA%B5%AC%20%EC%84%9C%EA%B5%90%EB%8F%99%20490" TargetMode="External"/><Relationship Id="rId15" Type="http://schemas.openxmlformats.org/officeDocument/2006/relationships/hyperlink" Target="https://map.kakao.com/?q=%EF%BB%BF%EC%84%9C%EC%9A%B8%20%EC%84%9C%EB%8C%80%EB%AC%B8%EA%B5%AC%20%EC%B0%BD%EC%B2%9C%EB%8F%99%20318" TargetMode="External"/><Relationship Id="rId57" Type="http://schemas.openxmlformats.org/officeDocument/2006/relationships/hyperlink" Target="https://map.kakao.com/?q=%EF%BB%BF%EC%84%9C%EC%9A%B8%20%EB%A7%88%ED%8F%AC%EA%B5%AC%20%EC%84%9C%EA%B5%90%EB%8F%99%20486" TargetMode="External"/><Relationship Id="rId262" Type="http://schemas.openxmlformats.org/officeDocument/2006/relationships/hyperlink" Target="https://map.kakao.com/?q=%EF%BB%BF%EC%84%9C%EC%9A%B8%20%EB%A7%88%ED%8F%AC%EA%B5%AC%20%EC%84%B1%EC%82%B0%EB%8F%99%20619-2" TargetMode="External"/><Relationship Id="rId318" Type="http://schemas.openxmlformats.org/officeDocument/2006/relationships/hyperlink" Target="https://map.kakao.com/?q=%EF%BB%BF%EC%84%9C%EC%9A%B8%20%EB%A7%88%ED%8F%AC%EA%B5%AC%20%EC%84%9C%EA%B5%90%EB%8F%99%20486" TargetMode="External"/><Relationship Id="rId99" Type="http://schemas.openxmlformats.org/officeDocument/2006/relationships/hyperlink" Target="https://map.kakao.com/?q=%EF%BB%BF%EC%84%9C%EC%9A%B8%20%EB%A7%88%ED%8F%AC%EA%B5%AC%20%ED%95%A9%EC%A0%95%EB%8F%99%20382-20" TargetMode="External"/><Relationship Id="rId122" Type="http://schemas.openxmlformats.org/officeDocument/2006/relationships/hyperlink" Target="https://map.kakao.com/?q=%EF%BB%BF%EC%84%9C%EC%9A%B8%20%EB%A7%88%ED%8F%AC%EA%B5%AC%20%EC%84%9C%EA%B5%90%EB%8F%99%20487" TargetMode="External"/><Relationship Id="rId164" Type="http://schemas.openxmlformats.org/officeDocument/2006/relationships/hyperlink" Target="https://map.kakao.com/?q=%EF%BB%BF%EC%84%9C%EC%9A%B8%20%EB%A7%88%ED%8F%AC%EA%B5%AC%20%EC%84%9C%EA%B5%90%EB%8F%99%20490" TargetMode="External"/><Relationship Id="rId371" Type="http://schemas.openxmlformats.org/officeDocument/2006/relationships/hyperlink" Target="https://map.kakao.com/?q=%EF%BB%BF%EC%84%9C%EC%9A%B8%20%EB%A7%88%ED%8F%AC%EA%B5%AC%20%EC%97%B0%EB%82%A8%EB%8F%99%20504-7" TargetMode="External"/><Relationship Id="rId427" Type="http://schemas.openxmlformats.org/officeDocument/2006/relationships/hyperlink" Target="https://map.kakao.com/?q=%EF%BB%BF%EC%84%9C%EC%9A%B8%20%EB%A7%88%ED%8F%AC%EA%B5%AC%20%EC%84%9C%EA%B5%90%EB%8F%99%20344-6" TargetMode="External"/><Relationship Id="rId26" Type="http://schemas.openxmlformats.org/officeDocument/2006/relationships/hyperlink" Target="https://map.kakao.com/?q=%EF%BB%BF%EC%84%9C%EC%9A%B8%20%EB%A7%88%ED%8F%AC%EA%B5%AC%20%EB%8F%99%EA%B5%90%EB%8F%99%20165-8" TargetMode="External"/><Relationship Id="rId231" Type="http://schemas.openxmlformats.org/officeDocument/2006/relationships/hyperlink" Target="https://map.kakao.com/?q=%EF%BB%BF%EC%84%9C%EC%9A%B8%20%EB%A7%88%ED%8F%AC%EA%B5%AC%20%EC%84%9C%EA%B5%90%EB%8F%99%20490" TargetMode="External"/><Relationship Id="rId273" Type="http://schemas.openxmlformats.org/officeDocument/2006/relationships/hyperlink" Target="https://map.kakao.com/?q=%EF%BB%BF%EC%84%9C%EC%9A%B8%20%EB%A7%88%ED%8F%AC%EA%B5%AC%20%EC%84%9C%EA%B5%90%EB%8F%99%20372-8" TargetMode="External"/><Relationship Id="rId329" Type="http://schemas.openxmlformats.org/officeDocument/2006/relationships/hyperlink" Target="https://map.kakao.com/?q=%EF%BB%BF%EC%84%9C%EC%9A%B8%20%EB%A7%88%ED%8F%AC%EA%B5%AC%20%EC%8B%A0%EC%88%98%EB%8F%99%20462" TargetMode="External"/><Relationship Id="rId68" Type="http://schemas.openxmlformats.org/officeDocument/2006/relationships/hyperlink" Target="https://map.kakao.com/?q=%EF%BB%BF%EC%84%9C%EC%9A%B8%20%EB%A7%88%ED%8F%AC%EA%B5%AC%20%EC%84%9C%EA%B5%90%EB%8F%99%20490" TargetMode="External"/><Relationship Id="rId133" Type="http://schemas.openxmlformats.org/officeDocument/2006/relationships/hyperlink" Target="https://map.kakao.com/?q=%EF%BB%BF%EC%84%9C%EC%9A%B8%20%EB%A7%88%ED%8F%AC%EA%B5%AC%20%EC%84%9C%EA%B5%90%EB%8F%99%20490" TargetMode="External"/><Relationship Id="rId175" Type="http://schemas.openxmlformats.org/officeDocument/2006/relationships/hyperlink" Target="https://map.kakao.com/?q=%EF%BB%BF%EC%84%9C%EC%9A%B8%20%EB%A7%88%ED%8F%AC%EA%B5%AC%20%ED%95%A9%EC%A0%95%EB%8F%99%20473" TargetMode="External"/><Relationship Id="rId340" Type="http://schemas.openxmlformats.org/officeDocument/2006/relationships/hyperlink" Target="https://map.kakao.com/?q=%EF%BB%BF%EC%84%9C%EC%9A%B8%20%EB%A7%88%ED%8F%AC%EA%B5%AC%20%EC%84%9C%EA%B5%90%EB%8F%99%20446-12" TargetMode="External"/><Relationship Id="rId200" Type="http://schemas.openxmlformats.org/officeDocument/2006/relationships/hyperlink" Target="https://map.kakao.com/?q=%EF%BB%BF%EC%84%9C%EC%9A%B8%20%EB%A7%88%ED%8F%AC%EA%B5%AC%20%EC%8B%A0%EC%88%98%EB%8F%99%20462" TargetMode="External"/><Relationship Id="rId382" Type="http://schemas.openxmlformats.org/officeDocument/2006/relationships/hyperlink" Target="https://map.kakao.com/?q=%EF%BB%BF%EC%84%9C%EC%9A%B8%20%EB%A7%88%ED%8F%AC%EA%B5%AC%20%EC%84%9C%EA%B5%90%EB%8F%99%20344-6" TargetMode="External"/><Relationship Id="rId438" Type="http://schemas.openxmlformats.org/officeDocument/2006/relationships/hyperlink" Target="https://map.kakao.com/?q=%EF%BB%BF%EC%84%9C%EC%9A%B8%20%EB%A7%88%ED%8F%AC%EA%B5%AC%20%EC%84%9C%EA%B5%90%EB%8F%99%20494" TargetMode="External"/><Relationship Id="rId242" Type="http://schemas.openxmlformats.org/officeDocument/2006/relationships/hyperlink" Target="https://map.kakao.com/?q=%EF%BB%BF%EC%84%9C%EC%9A%B8%20%EB%A7%88%ED%8F%AC%EA%B5%AC%20%EC%84%9C%EA%B5%90%EB%8F%99%20344-6" TargetMode="External"/><Relationship Id="rId284" Type="http://schemas.openxmlformats.org/officeDocument/2006/relationships/hyperlink" Target="https://map.kakao.com/?q=%EF%BB%BF%EC%84%9C%EC%9A%B8%20%EB%A7%88%ED%8F%AC%EA%B5%AC%20%EC%84%9C%EA%B5%90%EB%8F%99%20400-23" TargetMode="External"/><Relationship Id="rId37" Type="http://schemas.openxmlformats.org/officeDocument/2006/relationships/hyperlink" Target="https://map.kakao.com/?q=%EF%BB%BF%EC%84%9C%EC%9A%B8%20%EB%A7%88%ED%8F%AC%EA%B5%AC%20%EC%97%B0%EB%82%A8%EB%8F%99%20562-48" TargetMode="External"/><Relationship Id="rId79" Type="http://schemas.openxmlformats.org/officeDocument/2006/relationships/hyperlink" Target="https://map.kakao.com/?q=%EF%BB%BF%EC%84%9C%EC%9A%B8%20%EB%A7%88%ED%8F%AC%EA%B5%AC%20%ED%95%A9%EC%A0%95%EB%8F%99%20451-8" TargetMode="External"/><Relationship Id="rId102" Type="http://schemas.openxmlformats.org/officeDocument/2006/relationships/hyperlink" Target="https://map.kakao.com/?q=%EF%BB%BF%EC%84%9C%EC%9A%B8%20%EC%84%9C%EB%8C%80%EB%AC%B8%EA%B5%AC%20%EC%B0%BD%EC%B2%9C%EB%8F%99%2029-81" TargetMode="External"/><Relationship Id="rId144" Type="http://schemas.openxmlformats.org/officeDocument/2006/relationships/hyperlink" Target="https://map.kakao.com/?q=%EF%BB%BF%EC%84%9C%EC%9A%B8%20%EB%A7%88%ED%8F%AC%EA%B5%AC%20%ED%95%A9%EC%A0%95%EB%8F%99%20428-34" TargetMode="External"/><Relationship Id="rId90" Type="http://schemas.openxmlformats.org/officeDocument/2006/relationships/hyperlink" Target="https://map.kakao.com/?q=%EF%BB%BF%EC%84%9C%EC%9A%B8%20%EB%A7%88%ED%8F%AC%EA%B5%AC%20%EC%84%9C%EA%B5%90%EB%8F%99%20394-25" TargetMode="External"/><Relationship Id="rId186" Type="http://schemas.openxmlformats.org/officeDocument/2006/relationships/hyperlink" Target="https://map.kakao.com/?q=%EF%BB%BF%EC%84%9C%EC%9A%B8%20%EB%A7%88%ED%8F%AC%EA%B5%AC%20%EC%84%9C%EA%B5%90%EB%8F%99%20490" TargetMode="External"/><Relationship Id="rId351" Type="http://schemas.openxmlformats.org/officeDocument/2006/relationships/hyperlink" Target="https://map.kakao.com/?q=%EF%BB%BF%EC%84%9C%EC%9A%B8%20%EB%A7%88%ED%8F%AC%EA%B5%AC%20%EB%8F%99%EA%B5%90%EB%8F%99%20155-27" TargetMode="External"/><Relationship Id="rId393" Type="http://schemas.openxmlformats.org/officeDocument/2006/relationships/hyperlink" Target="https://map.kakao.com/?q=%EF%BB%BF%EC%84%9C%EC%9A%B8%20%EB%A7%88%ED%8F%AC%EA%B5%AC%20%EC%84%9C%EA%B5%90%EB%8F%99%20486" TargetMode="External"/><Relationship Id="rId407" Type="http://schemas.openxmlformats.org/officeDocument/2006/relationships/hyperlink" Target="https://map.kakao.com/?q=%EF%BB%BF%EC%84%9C%EC%9A%B8%20%EB%A7%88%ED%8F%AC%EA%B5%AC%20%EC%B0%BD%EC%A0%84%EB%8F%99%20444" TargetMode="External"/><Relationship Id="rId449" Type="http://schemas.openxmlformats.org/officeDocument/2006/relationships/hyperlink" Target="https://map.kakao.com/?q=%EF%BB%BF%EC%84%9C%EC%9A%B8%20%EB%A7%88%ED%8F%AC%EA%B5%AC%20%EC%84%9C%EA%B5%90%EB%8F%99%20494" TargetMode="External"/><Relationship Id="rId211" Type="http://schemas.openxmlformats.org/officeDocument/2006/relationships/hyperlink" Target="https://map.kakao.com/?q=%EF%BB%BF%EC%84%9C%EC%9A%B8%20%EB%A7%88%ED%8F%AC%EA%B5%AC%20%EC%84%9C%EA%B5%90%EB%8F%99%20494" TargetMode="External"/><Relationship Id="rId253" Type="http://schemas.openxmlformats.org/officeDocument/2006/relationships/hyperlink" Target="https://map.kakao.com/?q=%EF%BB%BF%EC%84%9C%EC%9A%B8%20%EB%A7%88%ED%8F%AC%EA%B5%AC%20%EC%97%B0%EB%82%A8%EB%8F%99%20382-23" TargetMode="External"/><Relationship Id="rId295" Type="http://schemas.openxmlformats.org/officeDocument/2006/relationships/hyperlink" Target="https://map.kakao.com/?q=%EF%BB%BF%EC%84%9C%EC%9A%B8%20%EB%A7%88%ED%8F%AC%EA%B5%AC%20%EB%85%B8%EA%B3%A0%EC%82%B0%EB%8F%99%2057-18" TargetMode="External"/><Relationship Id="rId309" Type="http://schemas.openxmlformats.org/officeDocument/2006/relationships/hyperlink" Target="https://map.kakao.com/?q=%EF%BB%BF%EC%84%9C%EC%9A%B8%20%EB%A7%88%ED%8F%AC%EA%B5%AC%20%EC%84%9C%EA%B5%90%EB%8F%99%20487" TargetMode="External"/><Relationship Id="rId48" Type="http://schemas.openxmlformats.org/officeDocument/2006/relationships/hyperlink" Target="https://map.kakao.com/?q=%EF%BB%BF%EC%84%9C%EC%9A%B8%20%EB%A7%88%ED%8F%AC%EA%B5%AC%20%ED%95%A9%EC%A0%95%EB%8F%99%20473" TargetMode="External"/><Relationship Id="rId113" Type="http://schemas.openxmlformats.org/officeDocument/2006/relationships/hyperlink" Target="https://map.kakao.com/?q=%EF%BB%BF%EC%84%9C%EC%9A%B8%20%EB%A7%88%ED%8F%AC%EA%B5%AC%20%EC%84%9C%EA%B5%90%EB%8F%99%20490" TargetMode="External"/><Relationship Id="rId320" Type="http://schemas.openxmlformats.org/officeDocument/2006/relationships/hyperlink" Target="https://map.kakao.com/?q=%EF%BB%BF%EC%84%9C%EC%9A%B8%20%EB%A7%88%ED%8F%AC%EA%B5%AC%20%EC%84%9C%EA%B5%90%EB%8F%99%20469-19" TargetMode="External"/><Relationship Id="rId155" Type="http://schemas.openxmlformats.org/officeDocument/2006/relationships/hyperlink" Target="https://map.kakao.com/?q=%EF%BB%BF%EC%84%9C%EC%9A%B8%20%EB%A7%88%ED%8F%AC%EA%B5%AC%20%ED%95%A9%EC%A0%95%EB%8F%99%20473" TargetMode="External"/><Relationship Id="rId197" Type="http://schemas.openxmlformats.org/officeDocument/2006/relationships/hyperlink" Target="https://map.kakao.com/?q=%EF%BB%BF%EC%84%9C%EC%9A%B8%20%EB%A7%88%ED%8F%AC%EA%B5%AC%20%EC%8B%A0%EC%88%98%EB%8F%99%20462" TargetMode="External"/><Relationship Id="rId362" Type="http://schemas.openxmlformats.org/officeDocument/2006/relationships/hyperlink" Target="https://map.kakao.com/?q=%EF%BB%BF%EC%84%9C%EC%9A%B8%20%EB%A7%88%ED%8F%AC%EA%B5%AC%20%EC%8B%A0%EC%88%98%EB%8F%99%20462" TargetMode="External"/><Relationship Id="rId418" Type="http://schemas.openxmlformats.org/officeDocument/2006/relationships/hyperlink" Target="https://map.kakao.com/?q=%EF%BB%BF%EC%84%9C%EC%9A%B8%20%EC%84%9C%EB%8C%80%EB%AC%B8%EA%B5%AC%20%EC%B0%BD%EC%B2%9C%EB%8F%99%2029-81" TargetMode="External"/><Relationship Id="rId222" Type="http://schemas.openxmlformats.org/officeDocument/2006/relationships/hyperlink" Target="https://map.kakao.com/?q=%EF%BB%BF%EC%84%9C%EC%9A%B8%20%EB%A7%88%ED%8F%AC%EA%B5%AC%20%EC%84%9C%EA%B5%90%EB%8F%99%20394-25" TargetMode="External"/><Relationship Id="rId264" Type="http://schemas.openxmlformats.org/officeDocument/2006/relationships/hyperlink" Target="https://map.kakao.com/?q=%EF%BB%BF%EC%84%9C%EC%9A%B8%20%EB%A7%88%ED%8F%AC%EA%B5%AC%20%EC%97%B0%EB%82%A8%EB%8F%99%20478-15" TargetMode="External"/><Relationship Id="rId17" Type="http://schemas.openxmlformats.org/officeDocument/2006/relationships/hyperlink" Target="https://map.kakao.com/?q=%EF%BB%BF%EC%84%9C%EC%9A%B8%20%EB%A7%88%ED%8F%AC%EA%B5%AC%20%EB%A7%9D%EC%9B%90%EB%8F%99%20394-109" TargetMode="External"/><Relationship Id="rId59" Type="http://schemas.openxmlformats.org/officeDocument/2006/relationships/hyperlink" Target="https://map.kakao.com/?q=%EF%BB%BF%EC%84%9C%EC%9A%B8%20%EB%A7%88%ED%8F%AC%EA%B5%AC%20%EB%A7%9D%EC%9B%90%EB%8F%99%20396-4" TargetMode="External"/><Relationship Id="rId124" Type="http://schemas.openxmlformats.org/officeDocument/2006/relationships/hyperlink" Target="https://map.kakao.com/?q=%EF%BB%BF%EC%84%9C%EC%9A%B8%20%EB%A7%88%ED%8F%AC%EA%B5%AC%20%EC%84%9C%EA%B5%90%EB%8F%99%20487" TargetMode="External"/><Relationship Id="rId70" Type="http://schemas.openxmlformats.org/officeDocument/2006/relationships/hyperlink" Target="https://map.kakao.com/?q=%EF%BB%BF%EC%84%9C%EC%9A%B8%20%EB%A7%88%ED%8F%AC%EA%B5%AC%20%EC%B0%BD%EC%A0%84%EB%8F%99%20444" TargetMode="External"/><Relationship Id="rId166" Type="http://schemas.openxmlformats.org/officeDocument/2006/relationships/hyperlink" Target="https://map.kakao.com/?q=%EF%BB%BF%EC%84%9C%EC%9A%B8%20%EB%A7%88%ED%8F%AC%EA%B5%AC%20%EC%84%9C%EA%B5%90%EB%8F%99%20403-22" TargetMode="External"/><Relationship Id="rId331" Type="http://schemas.openxmlformats.org/officeDocument/2006/relationships/hyperlink" Target="https://map.kakao.com/?q=%EF%BB%BF%EC%84%9C%EC%9A%B8%20%EB%A7%88%ED%8F%AC%EA%B5%AC%20%EC%84%9C%EA%B5%90%EB%8F%99%20366-26" TargetMode="External"/><Relationship Id="rId373" Type="http://schemas.openxmlformats.org/officeDocument/2006/relationships/hyperlink" Target="https://map.kakao.com/?q=%EF%BB%BF%EC%84%9C%EC%9A%B8%20%EB%A7%88%ED%8F%AC%EA%B5%AC%20%EC%84%9C%EA%B5%90%EB%8F%99%20490" TargetMode="External"/><Relationship Id="rId429" Type="http://schemas.openxmlformats.org/officeDocument/2006/relationships/hyperlink" Target="https://map.kakao.com/?q=%EF%BB%BF%EC%84%9C%EC%9A%B8%20%EB%A7%88%ED%8F%AC%EA%B5%AC%20%EC%B0%BD%EC%A0%84%EB%8F%99%20444" TargetMode="External"/><Relationship Id="rId1" Type="http://schemas.openxmlformats.org/officeDocument/2006/relationships/hyperlink" Target="https://map.kakao.com/?q=%EF%BB%BF%EC%84%9C%EC%9A%B8%20%EB%A7%88%ED%8F%AC%EA%B5%AC%20%ED%95%A9%EC%A0%95%EB%8F%99%20440-10" TargetMode="External"/><Relationship Id="rId233" Type="http://schemas.openxmlformats.org/officeDocument/2006/relationships/hyperlink" Target="https://map.kakao.com/?q=%EF%BB%BF%EC%84%9C%EC%9A%B8%20%EB%A7%88%ED%8F%AC%EA%B5%AC%20%EC%84%9C%EA%B5%90%EB%8F%99%20344-6" TargetMode="External"/><Relationship Id="rId440" Type="http://schemas.openxmlformats.org/officeDocument/2006/relationships/hyperlink" Target="https://map.kakao.com/?q=%EF%BB%BF%EC%84%9C%EC%9A%B8%20%EB%A7%88%ED%8F%AC%EA%B5%AC%20%EC%B0%BD%EC%A0%84%EB%8F%99%20444" TargetMode="External"/><Relationship Id="rId28" Type="http://schemas.openxmlformats.org/officeDocument/2006/relationships/hyperlink" Target="https://map.kakao.com/?q=%EF%BB%BF%EC%84%9C%EC%9A%B8%20%EB%A7%88%ED%8F%AC%EA%B5%AC%20%EB%8F%99%EA%B5%90%EB%8F%99%20165-8" TargetMode="External"/><Relationship Id="rId275" Type="http://schemas.openxmlformats.org/officeDocument/2006/relationships/hyperlink" Target="https://map.kakao.com/?q=%EF%BB%BF%EC%84%9C%EC%9A%B8%20%EB%A7%88%ED%8F%AC%EA%B5%AC%20%EB%8F%99%EA%B5%90%EB%8F%99%20155-27" TargetMode="External"/><Relationship Id="rId300" Type="http://schemas.openxmlformats.org/officeDocument/2006/relationships/hyperlink" Target="https://map.kakao.com/?q=%EF%BB%BF%EC%84%9C%EC%9A%B8%20%EB%A7%88%ED%8F%AC%EA%B5%AC%20%ED%95%A9%EC%A0%95%EB%8F%99%20473" TargetMode="External"/><Relationship Id="rId81" Type="http://schemas.openxmlformats.org/officeDocument/2006/relationships/hyperlink" Target="https://map.kakao.com/?q=%EF%BB%BF%EC%84%9C%EC%9A%B8%20%EC%98%81%EB%93%B1%ED%8F%AC%EA%B5%AC%20%EC%96%91%ED%8F%89%EB%8F%995%EA%B0%80%2092" TargetMode="External"/><Relationship Id="rId135" Type="http://schemas.openxmlformats.org/officeDocument/2006/relationships/hyperlink" Target="https://map.kakao.com/?q=%EF%BB%BF%EC%84%9C%EC%9A%B8%20%EB%A7%88%ED%8F%AC%EA%B5%AC%20%EB%8F%99%EA%B5%90%EB%8F%99%20165-8" TargetMode="External"/><Relationship Id="rId177" Type="http://schemas.openxmlformats.org/officeDocument/2006/relationships/hyperlink" Target="https://map.kakao.com/?q=%EF%BB%BF%EC%84%9C%EC%9A%B8%20%EB%A7%88%ED%8F%AC%EA%B5%AC%20%EC%83%81%EC%88%98%EB%8F%99%20145-13" TargetMode="External"/><Relationship Id="rId342" Type="http://schemas.openxmlformats.org/officeDocument/2006/relationships/hyperlink" Target="https://map.kakao.com/?q=%EF%BB%BF%EC%84%9C%EC%9A%B8%20%EB%A7%88%ED%8F%AC%EA%B5%AC%20%EC%8B%A0%EC%88%98%EB%8F%99%20453" TargetMode="External"/><Relationship Id="rId384" Type="http://schemas.openxmlformats.org/officeDocument/2006/relationships/hyperlink" Target="https://map.kakao.com/?q=%EF%BB%BF%EC%84%9C%EC%9A%B8%20%EB%A7%88%ED%8F%AC%EA%B5%AC%20%EC%84%9C%EA%B5%90%EB%8F%99%20494" TargetMode="External"/><Relationship Id="rId202" Type="http://schemas.openxmlformats.org/officeDocument/2006/relationships/hyperlink" Target="https://map.kakao.com/?q=%EF%BB%BF%EC%84%9C%EC%9A%B8%20%EB%A7%88%ED%8F%AC%EA%B5%AC%20%EC%84%9C%EA%B5%90%EB%8F%99%20372-8" TargetMode="External"/><Relationship Id="rId244" Type="http://schemas.openxmlformats.org/officeDocument/2006/relationships/hyperlink" Target="https://map.kakao.com/?q=%EF%BB%BF%EC%84%9C%EC%9A%B8%20%EB%A7%88%ED%8F%AC%EA%B5%AC%20%EC%97%B0%EB%82%A8%EB%8F%99%20385-1" TargetMode="External"/><Relationship Id="rId39" Type="http://schemas.openxmlformats.org/officeDocument/2006/relationships/hyperlink" Target="https://map.kakao.com/?q=%EF%BB%BF%EC%84%9C%EC%9A%B8%20%EB%A7%88%ED%8F%AC%EA%B5%AC%20%EC%84%9C%EA%B5%90%EB%8F%99%20490" TargetMode="External"/><Relationship Id="rId286" Type="http://schemas.openxmlformats.org/officeDocument/2006/relationships/hyperlink" Target="https://map.kakao.com/?q=%EF%BB%BF%EC%84%9C%EC%9A%B8%20%EB%A7%88%ED%8F%AC%EA%B5%AC%20%EC%97%B0%EB%82%A8%EB%8F%99%20385-1" TargetMode="External"/><Relationship Id="rId451" Type="http://schemas.openxmlformats.org/officeDocument/2006/relationships/hyperlink" Target="https://map.kakao.com/?q=%EF%BB%BF%EC%84%9C%EC%9A%B8%20%EB%A7%88%ED%8F%AC%EA%B5%AC%20%EC%84%9C%EA%B5%90%EB%8F%99%20494" TargetMode="External"/><Relationship Id="rId50" Type="http://schemas.openxmlformats.org/officeDocument/2006/relationships/hyperlink" Target="https://map.kakao.com/?q=%EF%BB%BF%EC%84%9C%EC%9A%B8%20%EC%84%9C%EB%8C%80%EB%AC%B8%EA%B5%AC%20%EC%B0%BD%EC%B2%9C%EB%8F%99%20490" TargetMode="External"/><Relationship Id="rId104" Type="http://schemas.openxmlformats.org/officeDocument/2006/relationships/hyperlink" Target="https://map.kakao.com/?q=%EF%BB%BF%EC%84%9C%EC%9A%B8%20%EB%A7%88%ED%8F%AC%EA%B5%AC%20%EC%83%81%EC%88%98%EB%8F%99%20402" TargetMode="External"/><Relationship Id="rId146" Type="http://schemas.openxmlformats.org/officeDocument/2006/relationships/hyperlink" Target="https://map.kakao.com/?q=%EF%BB%BF%EC%84%9C%EC%9A%B8%20%EB%A7%88%ED%8F%AC%EA%B5%AC%20%EC%8B%A0%EC%88%98%EB%8F%99%20462" TargetMode="External"/><Relationship Id="rId188" Type="http://schemas.openxmlformats.org/officeDocument/2006/relationships/hyperlink" Target="https://map.kakao.com/?q=%EF%BB%BF%EC%84%9C%EC%9A%B8%20%EB%A7%88%ED%8F%AC%EA%B5%AC%20%EC%97%B0%EB%82%A8%EB%8F%99%20564-25" TargetMode="External"/><Relationship Id="rId311" Type="http://schemas.openxmlformats.org/officeDocument/2006/relationships/hyperlink" Target="https://map.kakao.com/?q=%EF%BB%BF%EC%84%9C%EC%9A%B8%20%EB%A7%88%ED%8F%AC%EA%B5%AC%20%EC%84%9C%EA%B5%90%EB%8F%99%20487" TargetMode="External"/><Relationship Id="rId353" Type="http://schemas.openxmlformats.org/officeDocument/2006/relationships/hyperlink" Target="https://map.kakao.com/?q=%EF%BB%BF%EC%84%9C%EC%9A%B8%20%EB%A7%88%ED%8F%AC%EA%B5%AC%20%EC%B0%BD%EC%A0%84%EB%8F%99%20444" TargetMode="External"/><Relationship Id="rId395" Type="http://schemas.openxmlformats.org/officeDocument/2006/relationships/hyperlink" Target="https://map.kakao.com/?q=%EF%BB%BF%EC%84%9C%EC%9A%B8%20%EB%A7%88%ED%8F%AC%EA%B5%AC%20%EC%84%9C%EA%B5%90%EB%8F%99%20486" TargetMode="External"/><Relationship Id="rId409" Type="http://schemas.openxmlformats.org/officeDocument/2006/relationships/hyperlink" Target="https://map.kakao.com/?q=%EF%BB%BF%EC%84%9C%EC%9A%B8%20%EB%A7%88%ED%8F%AC%EA%B5%AC%20%EC%8B%A0%EC%A0%95%EB%8F%99%203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34CE3-4934-46FB-AD78-390E7CA014B5}">
  <sheetPr codeName="Sheet2"/>
  <dimension ref="A1:AT439"/>
  <sheetViews>
    <sheetView tabSelected="1" topLeftCell="I1" zoomScale="80" zoomScaleNormal="80" workbookViewId="0">
      <selection activeCell="N21" sqref="N21"/>
    </sheetView>
  </sheetViews>
  <sheetFormatPr defaultRowHeight="16.5"/>
  <cols>
    <col min="1" max="1" width="7.5" style="22" bestFit="1" customWidth="1"/>
    <col min="2" max="2" width="7.5" bestFit="1" customWidth="1"/>
    <col min="3" max="3" width="14.875" bestFit="1" customWidth="1"/>
    <col min="4" max="4" width="9.375" bestFit="1" customWidth="1"/>
    <col min="5" max="5" width="7.5" bestFit="1" customWidth="1"/>
    <col min="6" max="6" width="9.875" style="24" bestFit="1" customWidth="1"/>
    <col min="7" max="7" width="24.125" customWidth="1"/>
    <col min="8" max="8" width="11.25" style="13" bestFit="1" customWidth="1"/>
    <col min="9" max="10" width="7.5" style="13" bestFit="1" customWidth="1"/>
    <col min="11" max="11" width="21.125" customWidth="1"/>
    <col min="12" max="12" width="12" customWidth="1"/>
    <col min="13" max="13" width="11.125" customWidth="1"/>
    <col min="14" max="14" width="33.875" customWidth="1"/>
    <col min="16" max="16" width="16.125" customWidth="1"/>
    <col min="18" max="18" width="11.625" customWidth="1"/>
    <col min="19" max="19" width="14.125" customWidth="1"/>
    <col min="21" max="21" width="12.75" customWidth="1"/>
    <col min="22" max="22" width="10.5" customWidth="1"/>
    <col min="23" max="23" width="11.625" customWidth="1"/>
    <col min="43" max="43" width="29.75" customWidth="1"/>
  </cols>
  <sheetData>
    <row r="1" spans="1:46">
      <c r="A1" s="9" t="s">
        <v>1</v>
      </c>
      <c r="B1" s="8" t="s">
        <v>3</v>
      </c>
      <c r="C1" s="8" t="s">
        <v>6</v>
      </c>
      <c r="D1" s="8" t="s">
        <v>4</v>
      </c>
      <c r="E1" s="8" t="s">
        <v>33</v>
      </c>
      <c r="F1" s="10" t="s">
        <v>42</v>
      </c>
      <c r="G1" s="8" t="s">
        <v>43</v>
      </c>
      <c r="H1" s="8" t="s">
        <v>7</v>
      </c>
      <c r="I1" s="8" t="s">
        <v>8</v>
      </c>
      <c r="J1" s="8" t="s">
        <v>9</v>
      </c>
      <c r="K1" s="8" t="s">
        <v>34</v>
      </c>
      <c r="M1" s="8" t="s">
        <v>10</v>
      </c>
      <c r="N1" s="11">
        <f ca="1">YEAR(NOW())</f>
        <v>2026</v>
      </c>
      <c r="Q1" t="s">
        <v>11</v>
      </c>
      <c r="T1" t="s">
        <v>5</v>
      </c>
      <c r="W1" t="s">
        <v>12</v>
      </c>
      <c r="AA1" t="s">
        <v>12</v>
      </c>
      <c r="AB1" t="s">
        <v>2</v>
      </c>
      <c r="AC1" s="11">
        <f ca="1">YEAR(NOW())</f>
        <v>2026</v>
      </c>
      <c r="AG1" s="12"/>
      <c r="AH1" s="12"/>
      <c r="AI1" s="12"/>
      <c r="AJ1" s="12"/>
      <c r="AK1" s="12"/>
      <c r="AL1" s="12"/>
      <c r="AM1" s="12"/>
      <c r="AT1" s="13"/>
    </row>
    <row r="2" spans="1:46" ht="20.25">
      <c r="A2" s="14" t="s">
        <v>35</v>
      </c>
      <c r="B2" s="7">
        <v>5</v>
      </c>
      <c r="C2" s="7">
        <v>35000</v>
      </c>
      <c r="D2" s="7">
        <v>48</v>
      </c>
      <c r="E2" s="7">
        <v>729</v>
      </c>
      <c r="F2" s="15">
        <v>1.7035530151443545</v>
      </c>
      <c r="G2" s="7" t="s">
        <v>739</v>
      </c>
      <c r="H2" s="8">
        <v>25</v>
      </c>
      <c r="I2" s="8">
        <v>40</v>
      </c>
      <c r="J2" s="8" t="s">
        <v>35</v>
      </c>
      <c r="K2" s="7" t="s">
        <v>423</v>
      </c>
      <c r="L2" s="13" t="s">
        <v>13</v>
      </c>
      <c r="M2" s="16" t="s">
        <v>14</v>
      </c>
      <c r="N2" s="37">
        <v>2002</v>
      </c>
      <c r="Q2">
        <v>9</v>
      </c>
      <c r="R2" t="s">
        <v>15</v>
      </c>
      <c r="S2">
        <f>COUNTIF($I:$I,Q2)</f>
        <v>0</v>
      </c>
      <c r="T2">
        <v>10</v>
      </c>
      <c r="U2" t="s">
        <v>15</v>
      </c>
      <c r="V2">
        <f>COUNTIF($H:$H,T2)</f>
        <v>0</v>
      </c>
      <c r="W2" t="s">
        <v>16</v>
      </c>
      <c r="X2" s="17">
        <f>1/5</f>
        <v>0.2</v>
      </c>
      <c r="Y2">
        <f>COUNTIF($J:$J,W2)</f>
        <v>0</v>
      </c>
      <c r="AA2" t="s">
        <v>17</v>
      </c>
      <c r="AB2" t="s">
        <v>0</v>
      </c>
      <c r="AG2" s="12"/>
      <c r="AH2" s="12"/>
      <c r="AI2" s="12"/>
      <c r="AJ2" s="18"/>
      <c r="AK2" s="19"/>
      <c r="AL2" s="18"/>
      <c r="AM2" s="19"/>
      <c r="AQ2" s="20"/>
      <c r="AR2" s="20"/>
      <c r="AS2" s="21"/>
    </row>
    <row r="3" spans="1:46" ht="20.25">
      <c r="A3" s="22" t="s">
        <v>35</v>
      </c>
      <c r="B3">
        <v>2</v>
      </c>
      <c r="C3">
        <v>160000</v>
      </c>
      <c r="D3">
        <v>53</v>
      </c>
      <c r="E3">
        <v>3019</v>
      </c>
      <c r="F3" s="23">
        <v>1675.8614531849782</v>
      </c>
      <c r="G3" t="s">
        <v>739</v>
      </c>
      <c r="H3" s="13">
        <v>25</v>
      </c>
      <c r="I3" s="13">
        <v>40</v>
      </c>
      <c r="J3" s="13" t="s">
        <v>35</v>
      </c>
      <c r="K3" t="s">
        <v>178</v>
      </c>
      <c r="L3" s="13"/>
      <c r="M3" s="16" t="s">
        <v>18</v>
      </c>
      <c r="N3" s="37">
        <v>48</v>
      </c>
      <c r="Q3">
        <v>10</v>
      </c>
      <c r="R3" t="s">
        <v>15</v>
      </c>
      <c r="S3">
        <f>COUNTIF($I:$I,Q3)</f>
        <v>0</v>
      </c>
      <c r="T3">
        <v>25</v>
      </c>
      <c r="U3" t="s">
        <v>15</v>
      </c>
      <c r="V3">
        <f>COUNTIF($H:$H,T3)</f>
        <v>6</v>
      </c>
      <c r="W3" t="s">
        <v>19</v>
      </c>
      <c r="X3" s="17">
        <f>3/5</f>
        <v>0.6</v>
      </c>
      <c r="Y3">
        <f>COUNTIF($J:$J,W3)</f>
        <v>0</v>
      </c>
      <c r="AG3" s="12"/>
      <c r="AH3" s="12"/>
      <c r="AI3" s="12"/>
      <c r="AJ3" s="18"/>
      <c r="AK3" s="19"/>
      <c r="AL3" s="18"/>
      <c r="AM3" s="19"/>
      <c r="AQ3" s="20"/>
      <c r="AR3" s="20"/>
      <c r="AS3" s="21"/>
    </row>
    <row r="4" spans="1:46" ht="20.25">
      <c r="A4" s="22" t="s">
        <v>35</v>
      </c>
      <c r="B4">
        <v>2</v>
      </c>
      <c r="C4">
        <v>300000</v>
      </c>
      <c r="D4">
        <v>65</v>
      </c>
      <c r="E4">
        <v>4615</v>
      </c>
      <c r="F4" s="24">
        <v>1675.8614531849782</v>
      </c>
      <c r="G4" t="s">
        <v>739</v>
      </c>
      <c r="H4" s="13">
        <v>25</v>
      </c>
      <c r="I4" s="13">
        <v>40</v>
      </c>
      <c r="J4" s="13" t="s">
        <v>35</v>
      </c>
      <c r="K4" t="s">
        <v>178</v>
      </c>
      <c r="L4" s="6" t="s">
        <v>0</v>
      </c>
      <c r="M4" s="16" t="s">
        <v>20</v>
      </c>
      <c r="N4" s="37" t="s">
        <v>57</v>
      </c>
      <c r="Q4">
        <v>20</v>
      </c>
      <c r="R4" t="s">
        <v>15</v>
      </c>
      <c r="S4">
        <f>COUNTIF($I:$I,Q4)</f>
        <v>0</v>
      </c>
      <c r="T4">
        <v>26</v>
      </c>
      <c r="U4" t="s">
        <v>21</v>
      </c>
      <c r="V4">
        <f>COUNTIF($H:$H,T4)</f>
        <v>0</v>
      </c>
      <c r="W4" t="s">
        <v>22</v>
      </c>
      <c r="X4" s="17">
        <f>5/5</f>
        <v>1</v>
      </c>
      <c r="Y4">
        <f>COUNTIF($J:$J,W4)</f>
        <v>0</v>
      </c>
      <c r="AG4" s="12"/>
      <c r="AH4" s="12"/>
      <c r="AI4" s="12"/>
      <c r="AJ4" s="18"/>
      <c r="AK4" s="19"/>
      <c r="AL4" s="18"/>
      <c r="AM4" s="19"/>
      <c r="AQ4" s="20"/>
      <c r="AR4" s="20"/>
      <c r="AS4" s="21"/>
    </row>
    <row r="5" spans="1:46" ht="20.25">
      <c r="A5" s="22" t="s">
        <v>35</v>
      </c>
      <c r="B5">
        <v>2</v>
      </c>
      <c r="C5">
        <v>380000</v>
      </c>
      <c r="D5">
        <v>54</v>
      </c>
      <c r="E5">
        <v>7037</v>
      </c>
      <c r="F5" s="24">
        <v>1675.8614531849782</v>
      </c>
      <c r="G5" t="s">
        <v>739</v>
      </c>
      <c r="H5" s="13">
        <v>25</v>
      </c>
      <c r="I5" s="13">
        <v>40</v>
      </c>
      <c r="J5" s="13" t="s">
        <v>35</v>
      </c>
      <c r="K5" t="s">
        <v>178</v>
      </c>
      <c r="L5" s="13"/>
      <c r="M5" s="16" t="s">
        <v>23</v>
      </c>
      <c r="N5" s="37">
        <v>5</v>
      </c>
      <c r="Q5">
        <v>30</v>
      </c>
      <c r="R5" t="s">
        <v>15</v>
      </c>
      <c r="S5">
        <f>COUNTIF($I:$I,Q5)</f>
        <v>0</v>
      </c>
      <c r="W5" t="s">
        <v>24</v>
      </c>
      <c r="Y5">
        <f>COUNTIF($J:$J,W5)</f>
        <v>6</v>
      </c>
      <c r="AG5" s="12"/>
      <c r="AH5" s="12"/>
      <c r="AI5" s="12"/>
      <c r="AJ5" s="18"/>
      <c r="AK5" s="19"/>
      <c r="AL5" s="18"/>
      <c r="AM5" s="19"/>
      <c r="AQ5" s="20"/>
      <c r="AR5" s="20"/>
      <c r="AS5" s="21"/>
    </row>
    <row r="6" spans="1:46">
      <c r="A6" s="22" t="s">
        <v>35</v>
      </c>
      <c r="B6">
        <v>3</v>
      </c>
      <c r="C6">
        <v>570000</v>
      </c>
      <c r="D6">
        <v>68</v>
      </c>
      <c r="E6">
        <v>8382</v>
      </c>
      <c r="F6" s="24">
        <v>1675.9268209773247</v>
      </c>
      <c r="G6" t="s">
        <v>739</v>
      </c>
      <c r="H6" s="13">
        <v>25</v>
      </c>
      <c r="I6" s="13">
        <v>40</v>
      </c>
      <c r="J6" s="13" t="s">
        <v>35</v>
      </c>
      <c r="K6" t="s">
        <v>178</v>
      </c>
      <c r="L6" s="13"/>
      <c r="M6" s="25" t="s">
        <v>5</v>
      </c>
      <c r="N6" s="11">
        <f ca="1">N1-N2</f>
        <v>24</v>
      </c>
      <c r="Q6">
        <v>40</v>
      </c>
      <c r="R6" t="s">
        <v>36</v>
      </c>
      <c r="S6">
        <f>COUNTIF($I:$I,Q6)</f>
        <v>6</v>
      </c>
      <c r="AG6" s="12"/>
      <c r="AH6" s="12"/>
      <c r="AI6" s="12"/>
      <c r="AJ6" s="18"/>
      <c r="AK6" s="19"/>
      <c r="AL6" s="18"/>
      <c r="AM6" s="19"/>
      <c r="AQ6" s="20"/>
      <c r="AR6" s="20"/>
      <c r="AS6" s="21"/>
    </row>
    <row r="7" spans="1:46">
      <c r="A7" s="22" t="s">
        <v>35</v>
      </c>
      <c r="B7">
        <v>15</v>
      </c>
      <c r="C7">
        <v>500000</v>
      </c>
      <c r="D7">
        <v>146</v>
      </c>
      <c r="E7">
        <v>3425</v>
      </c>
      <c r="F7" s="24">
        <v>1702.4170017758215</v>
      </c>
      <c r="G7" t="s">
        <v>739</v>
      </c>
      <c r="H7" s="13">
        <v>25</v>
      </c>
      <c r="I7" s="13">
        <v>40</v>
      </c>
      <c r="J7" s="13" t="s">
        <v>35</v>
      </c>
      <c r="K7" t="s">
        <v>202</v>
      </c>
      <c r="L7" s="13"/>
      <c r="M7" s="13"/>
      <c r="W7" t="s">
        <v>17</v>
      </c>
      <c r="AG7" s="12"/>
      <c r="AH7" s="12"/>
      <c r="AI7" s="12"/>
      <c r="AJ7" s="18"/>
      <c r="AK7" s="19"/>
      <c r="AL7" s="18"/>
      <c r="AM7" s="19"/>
    </row>
    <row r="8" spans="1:46" ht="20.25">
      <c r="L8" s="13"/>
      <c r="M8" s="26" t="s">
        <v>740</v>
      </c>
      <c r="N8" s="38">
        <v>35000</v>
      </c>
      <c r="O8" t="s">
        <v>25</v>
      </c>
      <c r="W8" t="s">
        <v>26</v>
      </c>
      <c r="X8" s="17"/>
      <c r="Y8">
        <f t="shared" ref="Y8:Y13" si="0">COUNTIF($J:$J,W8)</f>
        <v>0</v>
      </c>
      <c r="AG8" s="12"/>
      <c r="AH8" s="12"/>
      <c r="AI8" s="12"/>
      <c r="AJ8" s="18"/>
      <c r="AK8" s="19"/>
      <c r="AL8" s="18"/>
      <c r="AM8" s="19"/>
    </row>
    <row r="9" spans="1:46">
      <c r="L9" s="13"/>
      <c r="M9" s="2" t="s">
        <v>741</v>
      </c>
      <c r="N9" s="1">
        <f ca="1">N16*N3*0.9*$V$17*$V$18</f>
        <v>31492.799999999999</v>
      </c>
      <c r="O9" t="s">
        <v>25</v>
      </c>
      <c r="W9" t="s">
        <v>16</v>
      </c>
      <c r="X9" s="17">
        <v>0.4</v>
      </c>
      <c r="Y9">
        <f t="shared" si="0"/>
        <v>0</v>
      </c>
      <c r="AG9" s="12"/>
      <c r="AH9" s="12"/>
      <c r="AI9" s="12"/>
      <c r="AJ9" s="18"/>
      <c r="AK9" s="19"/>
      <c r="AL9" s="18"/>
      <c r="AM9" s="19"/>
    </row>
    <row r="10" spans="1:46" ht="18" customHeight="1">
      <c r="L10" s="13"/>
      <c r="M10" s="3" t="s">
        <v>39</v>
      </c>
      <c r="N10" s="4">
        <f ca="1">N8/N9</f>
        <v>1.1113651374282376</v>
      </c>
      <c r="W10" t="s">
        <v>19</v>
      </c>
      <c r="X10" s="17">
        <v>0.7</v>
      </c>
      <c r="Y10">
        <f t="shared" si="0"/>
        <v>0</v>
      </c>
      <c r="AG10" s="12"/>
      <c r="AH10" s="12"/>
      <c r="AI10" s="12"/>
      <c r="AJ10" s="18"/>
      <c r="AK10" s="19"/>
      <c r="AL10" s="18"/>
      <c r="AM10" s="19"/>
    </row>
    <row r="11" spans="1:46">
      <c r="L11" s="13"/>
      <c r="M11" s="16" t="s">
        <v>37</v>
      </c>
      <c r="N11" s="16" t="s">
        <v>738</v>
      </c>
      <c r="O11" s="27" t="str" cm="1">
        <f t="array" ref="O11:P11">[1]!kakaoAddress($N$11,"x좌표",TRUE,"9e5265220f87e54e4379077cb60071bb")</f>
        <v>[1] x좌표</v>
      </c>
      <c r="P11" s="33" t="str">
        <v>126.929167129212</v>
      </c>
      <c r="Q11" s="8"/>
      <c r="R11" s="27" t="str" cm="1">
        <f t="array" ref="R11:S11">[1]!kakaoAddress($N$11,"y좌표",TRUE,"9e5265220f87e54e4379077cb60071bb")</f>
        <v>[1] y좌표</v>
      </c>
      <c r="S11" s="34" t="str">
        <v>37.5598009893759</v>
      </c>
      <c r="W11" t="s">
        <v>22</v>
      </c>
      <c r="X11" s="17">
        <f>5/5</f>
        <v>1</v>
      </c>
      <c r="Y11">
        <f t="shared" si="0"/>
        <v>0</v>
      </c>
      <c r="AG11" s="12"/>
      <c r="AH11" s="12"/>
      <c r="AI11" s="12"/>
      <c r="AJ11" s="18"/>
      <c r="AK11" s="19"/>
      <c r="AL11" s="18"/>
      <c r="AM11" s="19"/>
    </row>
    <row r="12" spans="1:46" ht="20.25">
      <c r="L12" s="13"/>
      <c r="M12" s="13"/>
      <c r="O12" s="28" t="s">
        <v>41</v>
      </c>
      <c r="P12" s="36">
        <v>1000</v>
      </c>
      <c r="Q12" s="28" t="s">
        <v>40</v>
      </c>
      <c r="W12" t="s">
        <v>24</v>
      </c>
      <c r="Y12">
        <f t="shared" si="0"/>
        <v>6</v>
      </c>
      <c r="AG12" s="12"/>
      <c r="AH12" s="12"/>
      <c r="AI12" s="12"/>
      <c r="AJ12" s="18"/>
      <c r="AK12" s="19"/>
      <c r="AL12" s="18"/>
      <c r="AM12" s="19"/>
    </row>
    <row r="13" spans="1:46">
      <c r="L13" s="13" t="s">
        <v>27</v>
      </c>
      <c r="M13" s="8" t="s">
        <v>5</v>
      </c>
      <c r="N13" s="11">
        <f ca="1">IF(N6&lt;11,10,IF(AND(N6&lt;25),25,26))</f>
        <v>25</v>
      </c>
      <c r="O13" s="29" t="str">
        <f ca="1">IF(N13=26,"이상","이내")</f>
        <v>이내</v>
      </c>
      <c r="W13" t="s">
        <v>38</v>
      </c>
      <c r="Y13">
        <f t="shared" si="0"/>
        <v>0</v>
      </c>
      <c r="AG13" s="12"/>
      <c r="AH13" s="12"/>
      <c r="AI13" s="12"/>
      <c r="AJ13" s="18"/>
      <c r="AK13" s="19"/>
      <c r="AL13" s="18"/>
      <c r="AM13" s="19"/>
    </row>
    <row r="14" spans="1:46">
      <c r="M14" s="8" t="s">
        <v>11</v>
      </c>
      <c r="N14" s="8">
        <f>IF(N3&lt;16,10,IF(N3&lt;26,20,IF(N3&lt;36,30,40)))</f>
        <v>40</v>
      </c>
      <c r="O14" s="7" t="str">
        <f>IF(N14=40,"이상","이내")</f>
        <v>이상</v>
      </c>
      <c r="P14" t="s">
        <v>28</v>
      </c>
      <c r="AG14" s="12"/>
      <c r="AH14" s="12"/>
      <c r="AI14" s="12"/>
      <c r="AJ14" s="18"/>
      <c r="AK14" s="19"/>
      <c r="AL14" s="18"/>
      <c r="AM14" s="19"/>
    </row>
    <row r="15" spans="1:46">
      <c r="M15" s="8" t="s">
        <v>29</v>
      </c>
      <c r="N15" s="8" t="str">
        <f>IF(L4="주택",IF(LEFT(N4,1)="B","B1",IF(N4/N5&lt;=$X$2,"저",IF(N4/N5&lt;=$X$3,"중","고"))),IF(N4=1,"1층",IF(LEFT(N4,1)="B","B1",IF(N5&lt;6,"저",IF(N4/N5&lt;=$X$9,"저",IF(N4/N5&lt;=$X$10,"중","고"))))))</f>
        <v>B1</v>
      </c>
      <c r="O15" s="7"/>
      <c r="AG15" s="12"/>
      <c r="AH15" s="12"/>
      <c r="AI15" s="12"/>
      <c r="AJ15" s="18"/>
      <c r="AK15" s="19"/>
      <c r="AL15" s="18"/>
      <c r="AM15" s="19"/>
    </row>
    <row r="16" spans="1:46">
      <c r="M16" s="30" t="s">
        <v>30</v>
      </c>
      <c r="N16" s="5">
        <f ca="1">IFERROR(AVERAGE(_xlfn._xlws.FILTER($E$2:$E$99999,($H$2:$H$99999=$N$13)*($I$2:$I$99999=$N$14)*($J$2:$J$99999=$N$15)*($F$2:$F$99999&lt;=$P$12))),"해당없음")</f>
        <v>729</v>
      </c>
      <c r="O16" s="31" t="s">
        <v>25</v>
      </c>
      <c r="AG16" s="12"/>
      <c r="AH16" s="12"/>
      <c r="AI16" s="12"/>
      <c r="AJ16" s="18"/>
      <c r="AK16" s="19"/>
      <c r="AL16" s="18"/>
      <c r="AM16" s="19"/>
    </row>
    <row r="17" spans="12:39">
      <c r="M17" s="30" t="s">
        <v>31</v>
      </c>
      <c r="N17" s="5">
        <f ca="1">IFERROR(COUNTA(_xlfn._xlws.FILTER($E$2:$E$99999,($H$2:$H$99999=$N$13)*($I$2:$I$99999=$N$14)*($J$2:$J$99999=$N$15)*($F$2:$F$99999&lt;=$P$12))),"해당없음")</f>
        <v>1</v>
      </c>
      <c r="O17" s="31" t="s">
        <v>32</v>
      </c>
      <c r="R17" s="16" t="s">
        <v>50</v>
      </c>
      <c r="S17" s="16" t="s">
        <v>52</v>
      </c>
      <c r="T17" s="16">
        <v>1</v>
      </c>
      <c r="U17" s="16" t="s">
        <v>51</v>
      </c>
      <c r="V17" s="7">
        <f>IF(T17=1,W17,IF(T17=2,X17,Y17))</f>
        <v>1</v>
      </c>
      <c r="W17">
        <v>1</v>
      </c>
      <c r="X17">
        <v>0.8</v>
      </c>
      <c r="Y17">
        <v>0.6</v>
      </c>
      <c r="AG17" s="12"/>
      <c r="AH17" s="12"/>
      <c r="AI17" s="12"/>
      <c r="AJ17" s="18"/>
      <c r="AK17" s="19"/>
      <c r="AL17" s="18"/>
      <c r="AM17" s="19"/>
    </row>
    <row r="18" spans="12:39">
      <c r="M18" s="8" t="s">
        <v>55</v>
      </c>
      <c r="N18" s="45">
        <f>N8/N3</f>
        <v>729.16666666666663</v>
      </c>
      <c r="O18" s="46" t="s">
        <v>56</v>
      </c>
      <c r="R18" s="16"/>
      <c r="S18" s="16" t="s">
        <v>54</v>
      </c>
      <c r="T18" s="16">
        <v>1</v>
      </c>
      <c r="U18" s="16" t="s">
        <v>53</v>
      </c>
      <c r="V18" s="7">
        <f>IF(T18=0,0.8,IF(T18=1,W18,IF(T18=2,X18,Y18)))</f>
        <v>1</v>
      </c>
      <c r="W18">
        <v>1</v>
      </c>
      <c r="X18">
        <v>1.1499999999999999</v>
      </c>
      <c r="Y18">
        <v>1.2</v>
      </c>
      <c r="Z18">
        <v>0.8</v>
      </c>
      <c r="AG18" s="12"/>
      <c r="AH18" s="12"/>
      <c r="AI18" s="12"/>
      <c r="AJ18" s="18"/>
      <c r="AK18" s="19"/>
      <c r="AL18" s="18"/>
      <c r="AM18" s="19"/>
    </row>
    <row r="19" spans="12:39" ht="16.5" customHeight="1">
      <c r="L19" s="42"/>
      <c r="M19" s="42"/>
      <c r="N19" s="42"/>
      <c r="O19" s="42"/>
      <c r="P19" s="42"/>
      <c r="AG19" s="12"/>
      <c r="AH19" s="12"/>
      <c r="AI19" s="12"/>
      <c r="AJ19" s="18"/>
      <c r="AK19" s="19"/>
      <c r="AL19" s="18"/>
      <c r="AM19" s="19"/>
    </row>
    <row r="20" spans="12:39">
      <c r="L20" s="42"/>
      <c r="M20" s="43"/>
      <c r="N20" s="43"/>
      <c r="O20" s="44"/>
      <c r="P20" s="42"/>
      <c r="AG20" s="12"/>
      <c r="AH20" s="12"/>
      <c r="AI20" s="12"/>
      <c r="AJ20" s="18"/>
      <c r="AK20" s="19"/>
      <c r="AL20" s="18"/>
      <c r="AM20" s="19"/>
    </row>
    <row r="21" spans="12:39">
      <c r="AG21" s="12"/>
      <c r="AH21" s="12"/>
      <c r="AI21" s="12"/>
      <c r="AJ21" s="18"/>
      <c r="AK21" s="19"/>
      <c r="AL21" s="18"/>
      <c r="AM21" s="19"/>
    </row>
    <row r="22" spans="12:39">
      <c r="AG22" s="12"/>
      <c r="AH22" s="12"/>
      <c r="AI22" s="12"/>
      <c r="AJ22" s="18"/>
      <c r="AK22" s="19"/>
      <c r="AL22" s="18"/>
      <c r="AM22" s="19"/>
    </row>
    <row r="23" spans="12:39">
      <c r="AG23" s="12"/>
      <c r="AH23" s="12"/>
      <c r="AI23" s="12"/>
      <c r="AJ23" s="18"/>
      <c r="AK23" s="19"/>
      <c r="AL23" s="18"/>
      <c r="AM23" s="19"/>
    </row>
    <row r="24" spans="12:39">
      <c r="AG24" s="12"/>
      <c r="AH24" s="12"/>
      <c r="AI24" s="12"/>
      <c r="AJ24" s="18"/>
      <c r="AK24" s="19"/>
      <c r="AL24" s="18"/>
      <c r="AM24" s="19"/>
    </row>
    <row r="25" spans="12:39">
      <c r="AG25" s="12"/>
      <c r="AH25" s="12"/>
      <c r="AI25" s="12"/>
      <c r="AJ25" s="18"/>
      <c r="AK25" s="19"/>
      <c r="AL25" s="18"/>
      <c r="AM25" s="19"/>
    </row>
    <row r="26" spans="12:39">
      <c r="AG26" s="12"/>
      <c r="AH26" s="12"/>
      <c r="AI26" s="12"/>
      <c r="AJ26" s="18"/>
      <c r="AK26" s="19"/>
      <c r="AL26" s="18"/>
      <c r="AM26" s="19"/>
    </row>
    <row r="27" spans="12:39">
      <c r="AG27" s="12"/>
      <c r="AH27" s="12"/>
      <c r="AI27" s="12"/>
      <c r="AJ27" s="18"/>
      <c r="AK27" s="19"/>
      <c r="AL27" s="18"/>
      <c r="AM27" s="19"/>
    </row>
    <row r="28" spans="12:39">
      <c r="AG28" s="12"/>
      <c r="AH28" s="12"/>
      <c r="AI28" s="12"/>
      <c r="AJ28" s="18"/>
      <c r="AK28" s="19"/>
      <c r="AL28" s="18"/>
      <c r="AM28" s="19"/>
    </row>
    <row r="29" spans="12:39">
      <c r="AG29" s="12"/>
      <c r="AH29" s="12"/>
      <c r="AI29" s="12"/>
      <c r="AJ29" s="18"/>
      <c r="AK29" s="19"/>
      <c r="AL29" s="18"/>
      <c r="AM29" s="19"/>
    </row>
    <row r="30" spans="12:39">
      <c r="AG30" s="12"/>
      <c r="AH30" s="12"/>
      <c r="AI30" s="12"/>
      <c r="AJ30" s="18"/>
      <c r="AK30" s="19"/>
      <c r="AL30" s="18"/>
      <c r="AM30" s="19"/>
    </row>
    <row r="31" spans="12:39">
      <c r="AG31" s="12"/>
      <c r="AH31" s="12"/>
      <c r="AI31" s="12"/>
      <c r="AJ31" s="18"/>
      <c r="AK31" s="19"/>
      <c r="AL31" s="18"/>
      <c r="AM31" s="19"/>
    </row>
    <row r="32" spans="12:39">
      <c r="N32" s="35"/>
      <c r="V32" s="35"/>
      <c r="AG32" s="12"/>
      <c r="AH32" s="12"/>
      <c r="AI32" s="12"/>
      <c r="AJ32" s="18"/>
      <c r="AK32" s="19"/>
      <c r="AL32" s="18"/>
      <c r="AM32" s="19"/>
    </row>
    <row r="33" spans="16:39">
      <c r="AG33" s="12"/>
      <c r="AH33" s="12"/>
      <c r="AI33" s="12"/>
      <c r="AJ33" s="18"/>
      <c r="AK33" s="19"/>
      <c r="AL33" s="18"/>
      <c r="AM33" s="19"/>
    </row>
    <row r="34" spans="16:39">
      <c r="P34" s="35"/>
      <c r="AG34" s="12"/>
      <c r="AH34" s="12"/>
      <c r="AI34" s="12"/>
      <c r="AJ34" s="18"/>
      <c r="AK34" s="19"/>
      <c r="AL34" s="18"/>
      <c r="AM34" s="19"/>
    </row>
    <row r="35" spans="16:39">
      <c r="AG35" s="12"/>
      <c r="AH35" s="12"/>
      <c r="AI35" s="12"/>
      <c r="AJ35" s="18"/>
      <c r="AK35" s="19"/>
      <c r="AL35" s="18"/>
      <c r="AM35" s="19"/>
    </row>
    <row r="36" spans="16:39">
      <c r="P36" s="35"/>
      <c r="AG36" s="12"/>
      <c r="AH36" s="12"/>
      <c r="AI36" s="12"/>
      <c r="AJ36" s="18"/>
      <c r="AK36" s="19"/>
      <c r="AL36" s="18"/>
      <c r="AM36" s="19"/>
    </row>
    <row r="37" spans="16:39">
      <c r="AG37" s="12"/>
      <c r="AH37" s="12"/>
      <c r="AI37" s="12"/>
      <c r="AJ37" s="18"/>
      <c r="AK37" s="19"/>
      <c r="AL37" s="18"/>
      <c r="AM37" s="19"/>
    </row>
    <row r="38" spans="16:39">
      <c r="AG38" s="12"/>
      <c r="AH38" s="12"/>
      <c r="AI38" s="12"/>
      <c r="AJ38" s="18"/>
      <c r="AK38" s="19"/>
      <c r="AL38" s="18"/>
      <c r="AM38" s="19"/>
    </row>
    <row r="39" spans="16:39">
      <c r="AG39" s="12"/>
      <c r="AH39" s="12"/>
      <c r="AI39" s="12"/>
      <c r="AJ39" s="18"/>
      <c r="AK39" s="19"/>
      <c r="AL39" s="18"/>
      <c r="AM39" s="19"/>
    </row>
    <row r="40" spans="16:39">
      <c r="AG40" s="12"/>
      <c r="AH40" s="12"/>
      <c r="AI40" s="12"/>
      <c r="AJ40" s="18"/>
      <c r="AK40" s="19"/>
      <c r="AL40" s="18"/>
      <c r="AM40" s="19"/>
    </row>
    <row r="41" spans="16:39">
      <c r="AG41" s="12"/>
      <c r="AH41" s="12"/>
      <c r="AI41" s="12"/>
      <c r="AJ41" s="18"/>
      <c r="AK41" s="19"/>
      <c r="AL41" s="18"/>
      <c r="AM41" s="19"/>
    </row>
    <row r="42" spans="16:39">
      <c r="AG42" s="12"/>
      <c r="AH42" s="12"/>
      <c r="AI42" s="12"/>
      <c r="AJ42" s="18"/>
      <c r="AK42" s="19"/>
      <c r="AL42" s="18"/>
      <c r="AM42" s="19"/>
    </row>
    <row r="43" spans="16:39">
      <c r="AG43" s="12"/>
      <c r="AH43" s="12"/>
      <c r="AI43" s="12"/>
      <c r="AJ43" s="18"/>
      <c r="AK43" s="19"/>
      <c r="AL43" s="18"/>
      <c r="AM43" s="19"/>
    </row>
    <row r="44" spans="16:39">
      <c r="AG44" s="12"/>
      <c r="AH44" s="12"/>
      <c r="AI44" s="12"/>
      <c r="AJ44" s="18"/>
      <c r="AK44" s="19"/>
      <c r="AL44" s="18"/>
      <c r="AM44" s="19"/>
    </row>
    <row r="45" spans="16:39">
      <c r="AG45" s="12"/>
      <c r="AH45" s="12"/>
      <c r="AI45" s="12"/>
      <c r="AJ45" s="18"/>
      <c r="AK45" s="19"/>
      <c r="AL45" s="18"/>
      <c r="AM45" s="19"/>
    </row>
    <row r="46" spans="16:39">
      <c r="AG46" s="12"/>
      <c r="AH46" s="12"/>
      <c r="AI46" s="12"/>
      <c r="AJ46" s="18"/>
      <c r="AK46" s="19"/>
      <c r="AL46" s="18"/>
      <c r="AM46" s="19"/>
    </row>
    <row r="47" spans="16:39">
      <c r="AG47" s="12"/>
      <c r="AH47" s="12"/>
      <c r="AI47" s="12"/>
      <c r="AJ47" s="18"/>
      <c r="AK47" s="19"/>
      <c r="AL47" s="18"/>
      <c r="AM47" s="19"/>
    </row>
    <row r="48" spans="16:39">
      <c r="AG48" s="12"/>
      <c r="AH48" s="12"/>
      <c r="AI48" s="12"/>
      <c r="AJ48" s="18"/>
      <c r="AK48" s="19"/>
      <c r="AL48" s="18"/>
      <c r="AM48" s="19"/>
    </row>
    <row r="49" spans="33:39">
      <c r="AG49" s="12"/>
      <c r="AH49" s="12"/>
      <c r="AI49" s="12"/>
      <c r="AJ49" s="18"/>
      <c r="AK49" s="19"/>
      <c r="AL49" s="18"/>
      <c r="AM49" s="19"/>
    </row>
    <row r="50" spans="33:39">
      <c r="AG50" s="12"/>
      <c r="AH50" s="12"/>
      <c r="AI50" s="12"/>
      <c r="AJ50" s="18"/>
      <c r="AK50" s="19"/>
      <c r="AL50" s="18"/>
      <c r="AM50" s="19"/>
    </row>
    <row r="51" spans="33:39">
      <c r="AG51" s="12"/>
      <c r="AH51" s="12"/>
      <c r="AI51" s="12"/>
      <c r="AJ51" s="18"/>
      <c r="AK51" s="19"/>
      <c r="AL51" s="18"/>
      <c r="AM51" s="19"/>
    </row>
    <row r="52" spans="33:39">
      <c r="AG52" s="12"/>
      <c r="AH52" s="12"/>
      <c r="AI52" s="12"/>
      <c r="AJ52" s="18"/>
      <c r="AK52" s="19"/>
      <c r="AL52" s="18"/>
      <c r="AM52" s="19"/>
    </row>
    <row r="53" spans="33:39">
      <c r="AG53" s="12"/>
      <c r="AH53" s="12"/>
      <c r="AI53" s="12"/>
      <c r="AJ53" s="18"/>
      <c r="AK53" s="19"/>
      <c r="AL53" s="18"/>
      <c r="AM53" s="19"/>
    </row>
    <row r="54" spans="33:39">
      <c r="AG54" s="12"/>
      <c r="AH54" s="12"/>
      <c r="AI54" s="12"/>
      <c r="AJ54" s="18"/>
      <c r="AK54" s="19"/>
      <c r="AL54" s="18"/>
      <c r="AM54" s="19"/>
    </row>
    <row r="55" spans="33:39">
      <c r="AG55" s="12"/>
      <c r="AH55" s="12"/>
      <c r="AI55" s="12"/>
      <c r="AJ55" s="18"/>
      <c r="AK55" s="19"/>
      <c r="AL55" s="18"/>
      <c r="AM55" s="19"/>
    </row>
    <row r="56" spans="33:39">
      <c r="AG56" s="12"/>
      <c r="AH56" s="12"/>
      <c r="AI56" s="12"/>
      <c r="AJ56" s="18"/>
      <c r="AK56" s="19"/>
      <c r="AL56" s="18"/>
      <c r="AM56" s="19"/>
    </row>
    <row r="57" spans="33:39">
      <c r="AG57" s="12"/>
      <c r="AH57" s="12"/>
      <c r="AI57" s="12"/>
      <c r="AJ57" s="18"/>
      <c r="AK57" s="19"/>
      <c r="AL57" s="18"/>
      <c r="AM57" s="19"/>
    </row>
    <row r="58" spans="33:39">
      <c r="AG58" s="12"/>
      <c r="AH58" s="12"/>
      <c r="AI58" s="12"/>
      <c r="AJ58" s="18"/>
      <c r="AK58" s="19"/>
      <c r="AL58" s="18"/>
      <c r="AM58" s="19"/>
    </row>
    <row r="59" spans="33:39">
      <c r="AG59" s="12"/>
      <c r="AH59" s="12"/>
      <c r="AI59" s="12"/>
      <c r="AJ59" s="18"/>
      <c r="AK59" s="19"/>
      <c r="AL59" s="18"/>
      <c r="AM59" s="19"/>
    </row>
    <row r="60" spans="33:39">
      <c r="AG60" s="12"/>
      <c r="AH60" s="12"/>
      <c r="AI60" s="12"/>
      <c r="AJ60" s="18"/>
      <c r="AK60" s="19"/>
      <c r="AL60" s="18"/>
      <c r="AM60" s="19"/>
    </row>
    <row r="61" spans="33:39">
      <c r="AG61" s="12"/>
      <c r="AH61" s="12"/>
      <c r="AI61" s="12"/>
      <c r="AJ61" s="18"/>
      <c r="AK61" s="19"/>
      <c r="AL61" s="18"/>
      <c r="AM61" s="19"/>
    </row>
    <row r="62" spans="33:39">
      <c r="AG62" s="12"/>
      <c r="AH62" s="12"/>
      <c r="AI62" s="12"/>
      <c r="AJ62" s="18"/>
      <c r="AK62" s="19"/>
      <c r="AL62" s="18"/>
      <c r="AM62" s="19"/>
    </row>
    <row r="63" spans="33:39">
      <c r="AG63" s="12"/>
      <c r="AH63" s="12"/>
      <c r="AI63" s="12"/>
      <c r="AJ63" s="18"/>
      <c r="AK63" s="19"/>
      <c r="AL63" s="18"/>
      <c r="AM63" s="19"/>
    </row>
    <row r="64" spans="33:39">
      <c r="AG64" s="12"/>
      <c r="AH64" s="12"/>
      <c r="AI64" s="12"/>
      <c r="AJ64" s="18"/>
      <c r="AK64" s="19"/>
      <c r="AL64" s="18"/>
      <c r="AM64" s="19"/>
    </row>
    <row r="65" spans="33:39">
      <c r="AG65" s="12"/>
      <c r="AH65" s="12"/>
      <c r="AI65" s="12"/>
      <c r="AJ65" s="18"/>
      <c r="AK65" s="19"/>
      <c r="AL65" s="18"/>
      <c r="AM65" s="19"/>
    </row>
    <row r="66" spans="33:39">
      <c r="AG66" s="12"/>
      <c r="AH66" s="12"/>
      <c r="AI66" s="12"/>
      <c r="AJ66" s="18"/>
      <c r="AK66" s="19"/>
      <c r="AL66" s="18"/>
      <c r="AM66" s="19"/>
    </row>
    <row r="67" spans="33:39">
      <c r="AG67" s="12"/>
      <c r="AH67" s="12"/>
      <c r="AI67" s="12"/>
      <c r="AJ67" s="18"/>
      <c r="AK67" s="19"/>
      <c r="AL67" s="18"/>
      <c r="AM67" s="19"/>
    </row>
    <row r="68" spans="33:39">
      <c r="AG68" s="12"/>
      <c r="AH68" s="12"/>
      <c r="AI68" s="12"/>
      <c r="AJ68" s="18"/>
      <c r="AK68" s="19"/>
      <c r="AL68" s="18"/>
      <c r="AM68" s="19"/>
    </row>
    <row r="69" spans="33:39">
      <c r="AG69" s="12"/>
      <c r="AH69" s="12"/>
      <c r="AI69" s="12"/>
      <c r="AJ69" s="18"/>
      <c r="AK69" s="19"/>
      <c r="AL69" s="18"/>
      <c r="AM69" s="19"/>
    </row>
    <row r="70" spans="33:39">
      <c r="AG70" s="12"/>
      <c r="AH70" s="12"/>
      <c r="AI70" s="12"/>
      <c r="AJ70" s="18"/>
      <c r="AK70" s="19"/>
      <c r="AL70" s="18"/>
      <c r="AM70" s="19"/>
    </row>
    <row r="71" spans="33:39">
      <c r="AG71" s="12"/>
      <c r="AH71" s="12"/>
      <c r="AI71" s="12"/>
      <c r="AJ71" s="18"/>
      <c r="AK71" s="19"/>
      <c r="AL71" s="18"/>
      <c r="AM71" s="19"/>
    </row>
    <row r="72" spans="33:39">
      <c r="AG72" s="12"/>
      <c r="AH72" s="12"/>
      <c r="AI72" s="12"/>
      <c r="AJ72" s="18"/>
      <c r="AK72" s="19"/>
      <c r="AL72" s="18"/>
      <c r="AM72" s="19"/>
    </row>
    <row r="73" spans="33:39">
      <c r="AG73" s="12"/>
      <c r="AH73" s="12"/>
      <c r="AI73" s="12"/>
      <c r="AJ73" s="18"/>
      <c r="AK73" s="19"/>
      <c r="AL73" s="18"/>
      <c r="AM73" s="19"/>
    </row>
    <row r="74" spans="33:39">
      <c r="AG74" s="12"/>
      <c r="AH74" s="12"/>
      <c r="AI74" s="12"/>
      <c r="AJ74" s="18"/>
      <c r="AK74" s="19"/>
      <c r="AL74" s="18"/>
      <c r="AM74" s="19"/>
    </row>
    <row r="75" spans="33:39">
      <c r="AG75" s="12"/>
      <c r="AH75" s="12"/>
      <c r="AI75" s="12"/>
      <c r="AJ75" s="18"/>
      <c r="AK75" s="19"/>
      <c r="AL75" s="18"/>
      <c r="AM75" s="19"/>
    </row>
    <row r="76" spans="33:39">
      <c r="AG76" s="12"/>
      <c r="AH76" s="12"/>
      <c r="AI76" s="12"/>
      <c r="AJ76" s="18"/>
      <c r="AK76" s="19"/>
      <c r="AL76" s="18"/>
      <c r="AM76" s="19"/>
    </row>
    <row r="77" spans="33:39">
      <c r="AG77" s="12"/>
      <c r="AH77" s="12"/>
      <c r="AI77" s="12"/>
      <c r="AJ77" s="18"/>
      <c r="AK77" s="19"/>
      <c r="AL77" s="18"/>
      <c r="AM77" s="19"/>
    </row>
    <row r="78" spans="33:39">
      <c r="AG78" s="12"/>
      <c r="AH78" s="12"/>
      <c r="AI78" s="12"/>
      <c r="AJ78" s="18"/>
      <c r="AK78" s="19"/>
      <c r="AL78" s="18"/>
      <c r="AM78" s="19"/>
    </row>
    <row r="79" spans="33:39">
      <c r="AG79" s="12"/>
      <c r="AH79" s="12"/>
      <c r="AI79" s="12"/>
      <c r="AJ79" s="18"/>
      <c r="AK79" s="19"/>
      <c r="AL79" s="18"/>
      <c r="AM79" s="19"/>
    </row>
    <row r="80" spans="33:39">
      <c r="AG80" s="12"/>
      <c r="AH80" s="12"/>
      <c r="AI80" s="12"/>
      <c r="AJ80" s="18"/>
      <c r="AK80" s="19"/>
      <c r="AL80" s="18"/>
      <c r="AM80" s="19"/>
    </row>
    <row r="81" spans="33:39">
      <c r="AG81" s="12"/>
      <c r="AH81" s="12"/>
      <c r="AI81" s="12"/>
      <c r="AJ81" s="18"/>
      <c r="AK81" s="19"/>
      <c r="AL81" s="18"/>
      <c r="AM81" s="19"/>
    </row>
    <row r="82" spans="33:39">
      <c r="AG82" s="12"/>
      <c r="AH82" s="12"/>
      <c r="AI82" s="12"/>
      <c r="AJ82" s="18"/>
      <c r="AK82" s="19"/>
      <c r="AL82" s="18"/>
      <c r="AM82" s="19"/>
    </row>
    <row r="83" spans="33:39">
      <c r="AG83" s="12"/>
      <c r="AH83" s="12"/>
      <c r="AI83" s="12"/>
      <c r="AJ83" s="18"/>
      <c r="AK83" s="19"/>
      <c r="AL83" s="18"/>
      <c r="AM83" s="19"/>
    </row>
    <row r="84" spans="33:39">
      <c r="AG84" s="12"/>
      <c r="AH84" s="12"/>
      <c r="AI84" s="12"/>
      <c r="AJ84" s="18"/>
      <c r="AK84" s="19"/>
      <c r="AL84" s="18"/>
      <c r="AM84" s="19"/>
    </row>
    <row r="85" spans="33:39">
      <c r="AG85" s="12"/>
      <c r="AH85" s="12"/>
      <c r="AI85" s="12"/>
      <c r="AJ85" s="18"/>
      <c r="AK85" s="19"/>
      <c r="AL85" s="18"/>
      <c r="AM85" s="19"/>
    </row>
    <row r="86" spans="33:39">
      <c r="AG86" s="12"/>
      <c r="AH86" s="12"/>
      <c r="AI86" s="12"/>
      <c r="AJ86" s="18"/>
      <c r="AK86" s="19"/>
      <c r="AL86" s="18"/>
      <c r="AM86" s="19"/>
    </row>
    <row r="87" spans="33:39">
      <c r="AG87" s="12"/>
      <c r="AH87" s="12"/>
      <c r="AI87" s="12"/>
      <c r="AJ87" s="18"/>
      <c r="AK87" s="19"/>
      <c r="AL87" s="18"/>
      <c r="AM87" s="19"/>
    </row>
    <row r="88" spans="33:39">
      <c r="AG88" s="12"/>
      <c r="AH88" s="12"/>
      <c r="AI88" s="12"/>
      <c r="AJ88" s="18"/>
      <c r="AK88" s="19"/>
      <c r="AL88" s="18"/>
      <c r="AM88" s="19"/>
    </row>
    <row r="89" spans="33:39">
      <c r="AG89" s="12"/>
      <c r="AH89" s="12"/>
      <c r="AI89" s="12"/>
      <c r="AJ89" s="18"/>
      <c r="AK89" s="19"/>
      <c r="AL89" s="18"/>
      <c r="AM89" s="19"/>
    </row>
    <row r="90" spans="33:39">
      <c r="AG90" s="12"/>
      <c r="AH90" s="12"/>
      <c r="AI90" s="12"/>
      <c r="AJ90" s="18"/>
      <c r="AK90" s="19"/>
      <c r="AL90" s="18"/>
      <c r="AM90" s="19"/>
    </row>
    <row r="91" spans="33:39">
      <c r="AG91" s="12"/>
      <c r="AH91" s="12"/>
      <c r="AI91" s="12"/>
      <c r="AJ91" s="18"/>
      <c r="AK91" s="19"/>
      <c r="AL91" s="18"/>
      <c r="AM91" s="19"/>
    </row>
    <row r="92" spans="33:39">
      <c r="AG92" s="12"/>
      <c r="AH92" s="12"/>
      <c r="AI92" s="12"/>
      <c r="AJ92" s="18"/>
      <c r="AK92" s="19"/>
      <c r="AL92" s="18"/>
      <c r="AM92" s="19"/>
    </row>
    <row r="93" spans="33:39">
      <c r="AG93" s="12"/>
      <c r="AH93" s="12"/>
      <c r="AI93" s="12"/>
      <c r="AJ93" s="18"/>
      <c r="AK93" s="19"/>
      <c r="AL93" s="18"/>
      <c r="AM93" s="19"/>
    </row>
    <row r="94" spans="33:39">
      <c r="AG94" s="12"/>
      <c r="AH94" s="12"/>
      <c r="AI94" s="12"/>
      <c r="AJ94" s="18"/>
      <c r="AK94" s="19"/>
      <c r="AL94" s="18"/>
      <c r="AM94" s="19"/>
    </row>
    <row r="95" spans="33:39">
      <c r="AG95" s="12"/>
      <c r="AH95" s="12"/>
      <c r="AI95" s="12"/>
      <c r="AJ95" s="18"/>
      <c r="AK95" s="19"/>
      <c r="AL95" s="18"/>
      <c r="AM95" s="19"/>
    </row>
    <row r="96" spans="33:39">
      <c r="AG96" s="12"/>
      <c r="AH96" s="12"/>
      <c r="AI96" s="12"/>
      <c r="AJ96" s="18"/>
      <c r="AK96" s="19"/>
      <c r="AL96" s="18"/>
      <c r="AM96" s="19"/>
    </row>
    <row r="97" spans="33:39">
      <c r="AG97" s="12"/>
      <c r="AH97" s="12"/>
      <c r="AI97" s="12"/>
      <c r="AJ97" s="18"/>
      <c r="AK97" s="19"/>
      <c r="AL97" s="18"/>
      <c r="AM97" s="19"/>
    </row>
    <row r="98" spans="33:39">
      <c r="AG98" s="12"/>
      <c r="AH98" s="12"/>
      <c r="AI98" s="12"/>
      <c r="AJ98" s="18"/>
      <c r="AK98" s="19"/>
      <c r="AL98" s="18"/>
      <c r="AM98" s="19"/>
    </row>
    <row r="99" spans="33:39">
      <c r="AG99" s="12"/>
      <c r="AH99" s="12"/>
      <c r="AI99" s="12"/>
      <c r="AJ99" s="18"/>
      <c r="AK99" s="19"/>
      <c r="AL99" s="18"/>
      <c r="AM99" s="19"/>
    </row>
    <row r="100" spans="33:39">
      <c r="AG100" s="12"/>
      <c r="AH100" s="12"/>
      <c r="AI100" s="12"/>
      <c r="AJ100" s="18"/>
      <c r="AK100" s="19"/>
      <c r="AL100" s="18"/>
      <c r="AM100" s="19"/>
    </row>
    <row r="101" spans="33:39">
      <c r="AG101" s="12"/>
      <c r="AH101" s="12"/>
      <c r="AI101" s="12"/>
      <c r="AJ101" s="18"/>
      <c r="AK101" s="19"/>
      <c r="AL101" s="18"/>
      <c r="AM101" s="19"/>
    </row>
    <row r="102" spans="33:39">
      <c r="AG102" s="12"/>
      <c r="AH102" s="12"/>
      <c r="AI102" s="12"/>
      <c r="AJ102" s="18"/>
      <c r="AK102" s="19"/>
      <c r="AL102" s="18"/>
      <c r="AM102" s="19"/>
    </row>
    <row r="103" spans="33:39">
      <c r="AG103" s="12"/>
      <c r="AH103" s="12"/>
      <c r="AI103" s="12"/>
      <c r="AJ103" s="18"/>
      <c r="AK103" s="19"/>
      <c r="AL103" s="18"/>
      <c r="AM103" s="19"/>
    </row>
    <row r="104" spans="33:39">
      <c r="AG104" s="12"/>
      <c r="AH104" s="12"/>
      <c r="AI104" s="12"/>
      <c r="AJ104" s="18"/>
      <c r="AK104" s="19"/>
      <c r="AL104" s="18"/>
      <c r="AM104" s="19"/>
    </row>
    <row r="105" spans="33:39">
      <c r="AG105" s="12"/>
      <c r="AH105" s="12"/>
      <c r="AI105" s="12"/>
      <c r="AJ105" s="18"/>
      <c r="AK105" s="19"/>
      <c r="AL105" s="18"/>
      <c r="AM105" s="19"/>
    </row>
    <row r="106" spans="33:39">
      <c r="AG106" s="12"/>
      <c r="AH106" s="12"/>
      <c r="AI106" s="12"/>
      <c r="AJ106" s="18"/>
      <c r="AK106" s="19"/>
      <c r="AL106" s="18"/>
      <c r="AM106" s="19"/>
    </row>
    <row r="107" spans="33:39">
      <c r="AG107" s="12"/>
      <c r="AH107" s="12"/>
      <c r="AI107" s="12"/>
      <c r="AJ107" s="18"/>
      <c r="AK107" s="19"/>
      <c r="AL107" s="18"/>
      <c r="AM107" s="19"/>
    </row>
    <row r="108" spans="33:39">
      <c r="AG108" s="12"/>
      <c r="AH108" s="12"/>
      <c r="AI108" s="12"/>
      <c r="AJ108" s="18"/>
      <c r="AK108" s="19"/>
      <c r="AL108" s="18"/>
      <c r="AM108" s="19"/>
    </row>
    <row r="109" spans="33:39">
      <c r="AG109" s="12"/>
      <c r="AH109" s="12"/>
      <c r="AI109" s="12"/>
      <c r="AJ109" s="18"/>
      <c r="AK109" s="19"/>
      <c r="AL109" s="18"/>
      <c r="AM109" s="19"/>
    </row>
    <row r="110" spans="33:39">
      <c r="AG110" s="12"/>
      <c r="AH110" s="12"/>
      <c r="AI110" s="12"/>
      <c r="AJ110" s="18"/>
      <c r="AK110" s="19"/>
      <c r="AL110" s="18"/>
      <c r="AM110" s="19"/>
    </row>
    <row r="111" spans="33:39">
      <c r="AG111" s="12"/>
      <c r="AH111" s="12"/>
      <c r="AI111" s="12"/>
      <c r="AJ111" s="18"/>
      <c r="AK111" s="19"/>
      <c r="AL111" s="18"/>
      <c r="AM111" s="19"/>
    </row>
    <row r="112" spans="33:39">
      <c r="AG112" s="12"/>
      <c r="AH112" s="12"/>
      <c r="AI112" s="12"/>
      <c r="AJ112" s="18"/>
      <c r="AK112" s="19"/>
      <c r="AL112" s="18"/>
      <c r="AM112" s="19"/>
    </row>
    <row r="113" spans="33:39">
      <c r="AG113" s="12"/>
      <c r="AH113" s="12"/>
      <c r="AI113" s="12"/>
      <c r="AJ113" s="18"/>
      <c r="AK113" s="19"/>
      <c r="AL113" s="18"/>
      <c r="AM113" s="19"/>
    </row>
    <row r="114" spans="33:39">
      <c r="AG114" s="12"/>
      <c r="AH114" s="12"/>
      <c r="AI114" s="12"/>
      <c r="AJ114" s="18"/>
      <c r="AK114" s="19"/>
      <c r="AL114" s="18"/>
      <c r="AM114" s="19"/>
    </row>
    <row r="115" spans="33:39">
      <c r="AG115" s="12"/>
      <c r="AH115" s="12"/>
      <c r="AI115" s="12"/>
      <c r="AJ115" s="18"/>
      <c r="AK115" s="19"/>
      <c r="AL115" s="18"/>
      <c r="AM115" s="19"/>
    </row>
    <row r="116" spans="33:39">
      <c r="AG116" s="12"/>
      <c r="AH116" s="12"/>
      <c r="AI116" s="12"/>
      <c r="AJ116" s="18"/>
      <c r="AK116" s="19"/>
      <c r="AL116" s="18"/>
      <c r="AM116" s="19"/>
    </row>
    <row r="117" spans="33:39">
      <c r="AG117" s="12"/>
      <c r="AH117" s="12"/>
      <c r="AI117" s="12"/>
      <c r="AJ117" s="18"/>
      <c r="AK117" s="19"/>
      <c r="AL117" s="18"/>
      <c r="AM117" s="19"/>
    </row>
    <row r="118" spans="33:39">
      <c r="AG118" s="12"/>
      <c r="AH118" s="12"/>
      <c r="AI118" s="12"/>
      <c r="AJ118" s="18"/>
      <c r="AK118" s="19"/>
      <c r="AL118" s="18"/>
      <c r="AM118" s="19"/>
    </row>
    <row r="119" spans="33:39">
      <c r="AG119" s="12"/>
      <c r="AH119" s="12"/>
      <c r="AI119" s="12"/>
      <c r="AJ119" s="18"/>
      <c r="AK119" s="19"/>
      <c r="AL119" s="18"/>
      <c r="AM119" s="19"/>
    </row>
    <row r="120" spans="33:39">
      <c r="AG120" s="12"/>
      <c r="AH120" s="12"/>
      <c r="AI120" s="12"/>
      <c r="AJ120" s="18"/>
      <c r="AK120" s="19"/>
      <c r="AL120" s="18"/>
      <c r="AM120" s="19"/>
    </row>
    <row r="121" spans="33:39">
      <c r="AG121" s="12"/>
      <c r="AH121" s="12"/>
      <c r="AI121" s="12"/>
      <c r="AJ121" s="18"/>
      <c r="AK121" s="19"/>
      <c r="AL121" s="18"/>
      <c r="AM121" s="19"/>
    </row>
    <row r="122" spans="33:39">
      <c r="AG122" s="12"/>
      <c r="AH122" s="12"/>
      <c r="AI122" s="12"/>
      <c r="AJ122" s="18"/>
      <c r="AK122" s="19"/>
      <c r="AL122" s="18"/>
      <c r="AM122" s="19"/>
    </row>
    <row r="123" spans="33:39">
      <c r="AG123" s="12"/>
      <c r="AH123" s="12"/>
      <c r="AI123" s="12"/>
      <c r="AJ123" s="18"/>
      <c r="AK123" s="19"/>
      <c r="AL123" s="18"/>
      <c r="AM123" s="19"/>
    </row>
    <row r="124" spans="33:39">
      <c r="AG124" s="12"/>
      <c r="AH124" s="12"/>
      <c r="AI124" s="12"/>
      <c r="AJ124" s="18"/>
      <c r="AK124" s="19"/>
      <c r="AL124" s="18"/>
      <c r="AM124" s="19"/>
    </row>
    <row r="125" spans="33:39">
      <c r="AG125" s="12"/>
      <c r="AH125" s="12"/>
      <c r="AI125" s="12"/>
      <c r="AJ125" s="18"/>
      <c r="AK125" s="19"/>
      <c r="AL125" s="18"/>
      <c r="AM125" s="19"/>
    </row>
    <row r="126" spans="33:39">
      <c r="AG126" s="12"/>
      <c r="AH126" s="12"/>
      <c r="AI126" s="12"/>
      <c r="AJ126" s="18"/>
      <c r="AK126" s="19"/>
      <c r="AL126" s="18"/>
      <c r="AM126" s="19"/>
    </row>
    <row r="127" spans="33:39">
      <c r="AG127" s="12"/>
      <c r="AH127" s="12"/>
      <c r="AI127" s="12"/>
      <c r="AJ127" s="18"/>
      <c r="AK127" s="19"/>
      <c r="AL127" s="18"/>
      <c r="AM127" s="19"/>
    </row>
    <row r="128" spans="33:39">
      <c r="AG128" s="12"/>
      <c r="AH128" s="12"/>
      <c r="AI128" s="12"/>
      <c r="AJ128" s="18"/>
      <c r="AK128" s="19"/>
      <c r="AL128" s="18"/>
      <c r="AM128" s="19"/>
    </row>
    <row r="129" spans="33:39">
      <c r="AG129" s="12"/>
      <c r="AH129" s="12"/>
      <c r="AI129" s="12"/>
      <c r="AJ129" s="18"/>
      <c r="AK129" s="19"/>
      <c r="AL129" s="18"/>
      <c r="AM129" s="19"/>
    </row>
    <row r="130" spans="33:39">
      <c r="AG130" s="12"/>
      <c r="AH130" s="12"/>
      <c r="AI130" s="12"/>
      <c r="AJ130" s="18"/>
      <c r="AK130" s="19"/>
      <c r="AL130" s="18"/>
      <c r="AM130" s="19"/>
    </row>
    <row r="131" spans="33:39">
      <c r="AG131" s="12"/>
      <c r="AH131" s="12"/>
      <c r="AI131" s="12"/>
      <c r="AJ131" s="18"/>
      <c r="AK131" s="19"/>
      <c r="AL131" s="18"/>
      <c r="AM131" s="19"/>
    </row>
    <row r="132" spans="33:39">
      <c r="AG132" s="12"/>
      <c r="AH132" s="12"/>
      <c r="AI132" s="12"/>
      <c r="AJ132" s="18"/>
      <c r="AK132" s="19"/>
      <c r="AL132" s="18"/>
      <c r="AM132" s="19"/>
    </row>
    <row r="133" spans="33:39">
      <c r="AG133" s="12"/>
      <c r="AH133" s="12"/>
      <c r="AI133" s="12"/>
      <c r="AJ133" s="18"/>
      <c r="AK133" s="19"/>
      <c r="AL133" s="18"/>
      <c r="AM133" s="19"/>
    </row>
    <row r="134" spans="33:39">
      <c r="AG134" s="12"/>
      <c r="AH134" s="12"/>
      <c r="AI134" s="12"/>
      <c r="AJ134" s="18"/>
      <c r="AK134" s="19"/>
      <c r="AL134" s="18"/>
      <c r="AM134" s="19"/>
    </row>
    <row r="135" spans="33:39">
      <c r="AG135" s="12"/>
      <c r="AH135" s="12"/>
      <c r="AI135" s="12"/>
      <c r="AJ135" s="18"/>
      <c r="AK135" s="19"/>
      <c r="AL135" s="18"/>
      <c r="AM135" s="19"/>
    </row>
    <row r="136" spans="33:39">
      <c r="AG136" s="12"/>
      <c r="AH136" s="12"/>
      <c r="AI136" s="12"/>
      <c r="AJ136" s="18"/>
      <c r="AK136" s="19"/>
      <c r="AL136" s="18"/>
      <c r="AM136" s="19"/>
    </row>
    <row r="137" spans="33:39">
      <c r="AG137" s="12"/>
      <c r="AH137" s="12"/>
      <c r="AI137" s="12"/>
      <c r="AJ137" s="18"/>
      <c r="AK137" s="19"/>
      <c r="AL137" s="18"/>
      <c r="AM137" s="19"/>
    </row>
    <row r="138" spans="33:39">
      <c r="AG138" s="12"/>
      <c r="AH138" s="12"/>
      <c r="AI138" s="12"/>
      <c r="AJ138" s="18"/>
      <c r="AK138" s="19"/>
      <c r="AL138" s="18"/>
      <c r="AM138" s="19"/>
    </row>
    <row r="139" spans="33:39">
      <c r="AG139" s="12"/>
      <c r="AH139" s="12"/>
      <c r="AI139" s="12"/>
      <c r="AJ139" s="18"/>
      <c r="AK139" s="19"/>
      <c r="AL139" s="18"/>
      <c r="AM139" s="19"/>
    </row>
    <row r="140" spans="33:39">
      <c r="AG140" s="12"/>
      <c r="AH140" s="12"/>
      <c r="AI140" s="12"/>
      <c r="AJ140" s="18"/>
      <c r="AK140" s="19"/>
      <c r="AL140" s="18"/>
      <c r="AM140" s="19"/>
    </row>
    <row r="141" spans="33:39">
      <c r="AG141" s="12"/>
      <c r="AH141" s="12"/>
      <c r="AI141" s="12"/>
      <c r="AJ141" s="18"/>
      <c r="AK141" s="19"/>
      <c r="AL141" s="18"/>
      <c r="AM141" s="19"/>
    </row>
    <row r="142" spans="33:39">
      <c r="AG142" s="12"/>
      <c r="AH142" s="12"/>
      <c r="AI142" s="12"/>
      <c r="AJ142" s="18"/>
      <c r="AK142" s="19"/>
      <c r="AL142" s="18"/>
      <c r="AM142" s="19"/>
    </row>
    <row r="143" spans="33:39">
      <c r="AG143" s="12"/>
      <c r="AH143" s="12"/>
      <c r="AI143" s="12"/>
      <c r="AJ143" s="18"/>
      <c r="AK143" s="19"/>
      <c r="AL143" s="18"/>
      <c r="AM143" s="19"/>
    </row>
    <row r="144" spans="33:39">
      <c r="AG144" s="12"/>
      <c r="AH144" s="12"/>
      <c r="AI144" s="12"/>
      <c r="AJ144" s="18"/>
      <c r="AK144" s="19"/>
      <c r="AL144" s="18"/>
      <c r="AM144" s="19"/>
    </row>
    <row r="145" spans="33:39">
      <c r="AG145" s="12"/>
      <c r="AH145" s="12"/>
      <c r="AI145" s="12"/>
      <c r="AJ145" s="18"/>
      <c r="AK145" s="19"/>
      <c r="AL145" s="18"/>
      <c r="AM145" s="19"/>
    </row>
    <row r="146" spans="33:39">
      <c r="AG146" s="12"/>
      <c r="AH146" s="12"/>
      <c r="AI146" s="12"/>
      <c r="AJ146" s="18"/>
      <c r="AK146" s="19"/>
      <c r="AL146" s="18"/>
      <c r="AM146" s="19"/>
    </row>
    <row r="147" spans="33:39">
      <c r="AG147" s="12"/>
      <c r="AH147" s="12"/>
      <c r="AI147" s="12"/>
      <c r="AJ147" s="18"/>
      <c r="AK147" s="19"/>
      <c r="AL147" s="18"/>
      <c r="AM147" s="19"/>
    </row>
    <row r="148" spans="33:39">
      <c r="AG148" s="12"/>
      <c r="AH148" s="12"/>
      <c r="AI148" s="12"/>
      <c r="AJ148" s="18"/>
      <c r="AK148" s="19"/>
      <c r="AL148" s="18"/>
      <c r="AM148" s="19"/>
    </row>
    <row r="149" spans="33:39">
      <c r="AG149" s="12"/>
      <c r="AH149" s="12"/>
      <c r="AI149" s="12"/>
      <c r="AJ149" s="18"/>
      <c r="AK149" s="19"/>
      <c r="AL149" s="18"/>
      <c r="AM149" s="19"/>
    </row>
    <row r="150" spans="33:39">
      <c r="AG150" s="12"/>
      <c r="AH150" s="12"/>
      <c r="AI150" s="12"/>
      <c r="AJ150" s="18"/>
      <c r="AK150" s="19"/>
      <c r="AL150" s="18"/>
      <c r="AM150" s="19"/>
    </row>
    <row r="151" spans="33:39">
      <c r="AG151" s="12"/>
      <c r="AH151" s="12"/>
      <c r="AI151" s="12"/>
      <c r="AJ151" s="18"/>
      <c r="AK151" s="19"/>
      <c r="AL151" s="18"/>
      <c r="AM151" s="19"/>
    </row>
    <row r="152" spans="33:39">
      <c r="AG152" s="12"/>
      <c r="AH152" s="12"/>
      <c r="AI152" s="12"/>
      <c r="AJ152" s="18"/>
      <c r="AK152" s="19"/>
      <c r="AL152" s="18"/>
      <c r="AM152" s="19"/>
    </row>
    <row r="153" spans="33:39">
      <c r="AG153" s="12"/>
      <c r="AH153" s="12"/>
      <c r="AI153" s="12"/>
      <c r="AJ153" s="18"/>
      <c r="AK153" s="19"/>
      <c r="AL153" s="18"/>
      <c r="AM153" s="19"/>
    </row>
    <row r="154" spans="33:39">
      <c r="AG154" s="12"/>
      <c r="AH154" s="12"/>
      <c r="AI154" s="12"/>
      <c r="AJ154" s="18"/>
      <c r="AK154" s="19"/>
      <c r="AL154" s="18"/>
      <c r="AM154" s="19"/>
    </row>
    <row r="155" spans="33:39">
      <c r="AG155" s="12"/>
      <c r="AH155" s="12"/>
      <c r="AI155" s="12"/>
      <c r="AJ155" s="18"/>
      <c r="AK155" s="19"/>
      <c r="AL155" s="18"/>
      <c r="AM155" s="19"/>
    </row>
    <row r="156" spans="33:39">
      <c r="AG156" s="12"/>
      <c r="AH156" s="12"/>
      <c r="AI156" s="12"/>
      <c r="AJ156" s="18"/>
      <c r="AK156" s="19"/>
      <c r="AL156" s="18"/>
      <c r="AM156" s="19"/>
    </row>
    <row r="157" spans="33:39">
      <c r="AG157" s="12"/>
      <c r="AH157" s="12"/>
      <c r="AI157" s="12"/>
      <c r="AJ157" s="18"/>
      <c r="AK157" s="19"/>
      <c r="AL157" s="18"/>
      <c r="AM157" s="19"/>
    </row>
    <row r="158" spans="33:39">
      <c r="AG158" s="12"/>
      <c r="AH158" s="12"/>
      <c r="AI158" s="12"/>
      <c r="AJ158" s="18"/>
      <c r="AK158" s="19"/>
      <c r="AL158" s="18"/>
      <c r="AM158" s="19"/>
    </row>
    <row r="159" spans="33:39">
      <c r="AG159" s="12"/>
      <c r="AH159" s="12"/>
      <c r="AI159" s="12"/>
      <c r="AJ159" s="18"/>
      <c r="AK159" s="19"/>
      <c r="AL159" s="18"/>
      <c r="AM159" s="19"/>
    </row>
    <row r="160" spans="33:39">
      <c r="AG160" s="12"/>
      <c r="AH160" s="12"/>
      <c r="AI160" s="12"/>
      <c r="AJ160" s="18"/>
      <c r="AK160" s="19"/>
      <c r="AL160" s="18"/>
      <c r="AM160" s="19"/>
    </row>
    <row r="161" spans="33:39">
      <c r="AG161" s="12"/>
      <c r="AH161" s="12"/>
      <c r="AI161" s="12"/>
      <c r="AJ161" s="18"/>
      <c r="AK161" s="19"/>
      <c r="AL161" s="18"/>
      <c r="AM161" s="19"/>
    </row>
    <row r="162" spans="33:39">
      <c r="AG162" s="12"/>
      <c r="AH162" s="12"/>
      <c r="AI162" s="12"/>
      <c r="AJ162" s="18"/>
      <c r="AK162" s="19"/>
      <c r="AL162" s="18"/>
      <c r="AM162" s="19"/>
    </row>
    <row r="163" spans="33:39">
      <c r="AG163" s="12"/>
      <c r="AH163" s="12"/>
      <c r="AI163" s="12"/>
      <c r="AJ163" s="18"/>
      <c r="AK163" s="19"/>
      <c r="AL163" s="18"/>
      <c r="AM163" s="19"/>
    </row>
    <row r="164" spans="33:39">
      <c r="AG164" s="12"/>
      <c r="AH164" s="12"/>
      <c r="AI164" s="12"/>
      <c r="AJ164" s="18"/>
      <c r="AK164" s="19"/>
      <c r="AL164" s="18"/>
      <c r="AM164" s="19"/>
    </row>
    <row r="165" spans="33:39">
      <c r="AG165" s="12"/>
      <c r="AH165" s="12"/>
      <c r="AI165" s="12"/>
      <c r="AJ165" s="18"/>
      <c r="AK165" s="19"/>
      <c r="AL165" s="18"/>
      <c r="AM165" s="19"/>
    </row>
    <row r="166" spans="33:39">
      <c r="AG166" s="12"/>
      <c r="AH166" s="12"/>
      <c r="AI166" s="12"/>
      <c r="AJ166" s="18"/>
      <c r="AK166" s="19"/>
      <c r="AL166" s="18"/>
      <c r="AM166" s="19"/>
    </row>
    <row r="167" spans="33:39">
      <c r="AG167" s="12"/>
      <c r="AH167" s="12"/>
      <c r="AI167" s="12"/>
      <c r="AJ167" s="18"/>
      <c r="AK167" s="19"/>
      <c r="AL167" s="18"/>
      <c r="AM167" s="19"/>
    </row>
    <row r="168" spans="33:39">
      <c r="AG168" s="12"/>
      <c r="AH168" s="12"/>
      <c r="AI168" s="12"/>
      <c r="AJ168" s="18"/>
      <c r="AK168" s="19"/>
      <c r="AL168" s="18"/>
      <c r="AM168" s="19"/>
    </row>
    <row r="169" spans="33:39">
      <c r="AG169" s="12"/>
      <c r="AH169" s="12"/>
      <c r="AI169" s="12"/>
      <c r="AJ169" s="18"/>
      <c r="AK169" s="19"/>
      <c r="AL169" s="18"/>
      <c r="AM169" s="19"/>
    </row>
    <row r="170" spans="33:39">
      <c r="AG170" s="12"/>
      <c r="AH170" s="12"/>
      <c r="AI170" s="12"/>
      <c r="AJ170" s="18"/>
      <c r="AK170" s="19"/>
      <c r="AL170" s="18"/>
      <c r="AM170" s="19"/>
    </row>
    <row r="171" spans="33:39">
      <c r="AG171" s="12"/>
      <c r="AH171" s="12"/>
      <c r="AI171" s="12"/>
      <c r="AJ171" s="18"/>
      <c r="AK171" s="19"/>
      <c r="AL171" s="18"/>
      <c r="AM171" s="19"/>
    </row>
    <row r="172" spans="33:39">
      <c r="AG172" s="12"/>
      <c r="AH172" s="12"/>
      <c r="AI172" s="12"/>
      <c r="AJ172" s="18"/>
      <c r="AK172" s="19"/>
      <c r="AL172" s="18"/>
      <c r="AM172" s="19"/>
    </row>
    <row r="173" spans="33:39">
      <c r="AG173" s="12"/>
      <c r="AH173" s="12"/>
      <c r="AI173" s="12"/>
      <c r="AJ173" s="18"/>
      <c r="AK173" s="19"/>
      <c r="AL173" s="18"/>
      <c r="AM173" s="19"/>
    </row>
    <row r="174" spans="33:39">
      <c r="AG174" s="12"/>
      <c r="AH174" s="12"/>
      <c r="AI174" s="12"/>
      <c r="AJ174" s="18"/>
      <c r="AK174" s="19"/>
      <c r="AL174" s="18"/>
      <c r="AM174" s="19"/>
    </row>
    <row r="175" spans="33:39">
      <c r="AG175" s="12"/>
      <c r="AH175" s="12"/>
      <c r="AI175" s="12"/>
      <c r="AJ175" s="18"/>
      <c r="AK175" s="19"/>
      <c r="AL175" s="18"/>
      <c r="AM175" s="19"/>
    </row>
    <row r="176" spans="33:39">
      <c r="AG176" s="12"/>
      <c r="AH176" s="12"/>
      <c r="AI176" s="12"/>
      <c r="AJ176" s="18"/>
      <c r="AK176" s="19"/>
      <c r="AL176" s="18"/>
      <c r="AM176" s="19"/>
    </row>
    <row r="177" spans="33:39">
      <c r="AG177" s="12"/>
      <c r="AH177" s="12"/>
      <c r="AI177" s="12"/>
      <c r="AJ177" s="18"/>
      <c r="AK177" s="19"/>
      <c r="AL177" s="18"/>
      <c r="AM177" s="19"/>
    </row>
    <row r="178" spans="33:39">
      <c r="AG178" s="12"/>
      <c r="AH178" s="12"/>
      <c r="AI178" s="12"/>
      <c r="AJ178" s="18"/>
      <c r="AK178" s="19"/>
      <c r="AL178" s="18"/>
      <c r="AM178" s="19"/>
    </row>
    <row r="179" spans="33:39">
      <c r="AG179" s="12"/>
      <c r="AH179" s="12"/>
      <c r="AI179" s="12"/>
      <c r="AJ179" s="18"/>
      <c r="AK179" s="19"/>
      <c r="AL179" s="18"/>
      <c r="AM179" s="19"/>
    </row>
    <row r="180" spans="33:39">
      <c r="AG180" s="12"/>
      <c r="AH180" s="12"/>
      <c r="AI180" s="12"/>
      <c r="AJ180" s="18"/>
      <c r="AK180" s="19"/>
      <c r="AL180" s="18"/>
      <c r="AM180" s="19"/>
    </row>
    <row r="181" spans="33:39">
      <c r="AG181" s="12"/>
      <c r="AH181" s="12"/>
      <c r="AI181" s="12"/>
      <c r="AJ181" s="18"/>
      <c r="AK181" s="19"/>
      <c r="AL181" s="18"/>
      <c r="AM181" s="19"/>
    </row>
    <row r="182" spans="33:39">
      <c r="AG182" s="12"/>
      <c r="AH182" s="12"/>
      <c r="AI182" s="12"/>
      <c r="AJ182" s="18"/>
      <c r="AK182" s="19"/>
      <c r="AL182" s="18"/>
      <c r="AM182" s="19"/>
    </row>
    <row r="183" spans="33:39">
      <c r="AG183" s="12"/>
      <c r="AH183" s="12"/>
      <c r="AI183" s="12"/>
      <c r="AJ183" s="18"/>
      <c r="AK183" s="19"/>
      <c r="AL183" s="18"/>
      <c r="AM183" s="19"/>
    </row>
    <row r="184" spans="33:39">
      <c r="AG184" s="12"/>
      <c r="AH184" s="12"/>
      <c r="AI184" s="12"/>
      <c r="AJ184" s="18"/>
      <c r="AK184" s="19"/>
      <c r="AL184" s="18"/>
      <c r="AM184" s="19"/>
    </row>
    <row r="185" spans="33:39">
      <c r="AG185" s="12"/>
      <c r="AH185" s="12"/>
      <c r="AI185" s="12"/>
      <c r="AJ185" s="18"/>
      <c r="AK185" s="19"/>
      <c r="AL185" s="18"/>
      <c r="AM185" s="19"/>
    </row>
    <row r="186" spans="33:39">
      <c r="AG186" s="12"/>
      <c r="AH186" s="12"/>
      <c r="AI186" s="12"/>
      <c r="AJ186" s="18"/>
      <c r="AK186" s="19"/>
      <c r="AL186" s="18"/>
      <c r="AM186" s="19"/>
    </row>
    <row r="187" spans="33:39">
      <c r="AG187" s="12"/>
      <c r="AH187" s="12"/>
      <c r="AI187" s="12"/>
      <c r="AJ187" s="18"/>
      <c r="AK187" s="19"/>
      <c r="AL187" s="18"/>
      <c r="AM187" s="19"/>
    </row>
    <row r="188" spans="33:39">
      <c r="AG188" s="12"/>
      <c r="AH188" s="12"/>
      <c r="AI188" s="12"/>
      <c r="AJ188" s="18"/>
      <c r="AK188" s="19"/>
      <c r="AL188" s="18"/>
      <c r="AM188" s="19"/>
    </row>
    <row r="189" spans="33:39">
      <c r="AG189" s="12"/>
      <c r="AH189" s="12"/>
      <c r="AI189" s="12"/>
      <c r="AJ189" s="18"/>
      <c r="AK189" s="19"/>
      <c r="AL189" s="18"/>
      <c r="AM189" s="19"/>
    </row>
    <row r="190" spans="33:39">
      <c r="AG190" s="12"/>
      <c r="AH190" s="12"/>
      <c r="AI190" s="12"/>
      <c r="AJ190" s="18"/>
      <c r="AK190" s="19"/>
      <c r="AL190" s="18"/>
      <c r="AM190" s="19"/>
    </row>
    <row r="191" spans="33:39">
      <c r="AG191" s="12"/>
      <c r="AH191" s="12"/>
      <c r="AI191" s="12"/>
      <c r="AJ191" s="18"/>
      <c r="AK191" s="19"/>
      <c r="AL191" s="18"/>
      <c r="AM191" s="19"/>
    </row>
    <row r="192" spans="33:39">
      <c r="AG192" s="12"/>
      <c r="AH192" s="12"/>
      <c r="AI192" s="12"/>
      <c r="AJ192" s="18"/>
      <c r="AK192" s="19"/>
      <c r="AL192" s="18"/>
      <c r="AM192" s="19"/>
    </row>
    <row r="193" spans="33:39">
      <c r="AG193" s="12"/>
      <c r="AH193" s="12"/>
      <c r="AI193" s="12"/>
      <c r="AJ193" s="18"/>
      <c r="AK193" s="19"/>
      <c r="AL193" s="18"/>
      <c r="AM193" s="19"/>
    </row>
    <row r="194" spans="33:39">
      <c r="AG194" s="12"/>
      <c r="AH194" s="12"/>
      <c r="AI194" s="12"/>
      <c r="AJ194" s="18"/>
      <c r="AK194" s="19"/>
      <c r="AL194" s="18"/>
      <c r="AM194" s="19"/>
    </row>
    <row r="195" spans="33:39">
      <c r="AG195" s="12"/>
      <c r="AH195" s="12"/>
      <c r="AI195" s="12"/>
      <c r="AJ195" s="18"/>
      <c r="AK195" s="19"/>
      <c r="AL195" s="18"/>
      <c r="AM195" s="19"/>
    </row>
    <row r="196" spans="33:39">
      <c r="AG196" s="12"/>
      <c r="AH196" s="12"/>
      <c r="AI196" s="12"/>
      <c r="AJ196" s="18"/>
      <c r="AK196" s="19"/>
      <c r="AL196" s="18"/>
      <c r="AM196" s="19"/>
    </row>
    <row r="197" spans="33:39">
      <c r="AG197" s="12"/>
      <c r="AH197" s="12"/>
      <c r="AI197" s="12"/>
      <c r="AJ197" s="18"/>
      <c r="AK197" s="19"/>
      <c r="AL197" s="18"/>
      <c r="AM197" s="19"/>
    </row>
    <row r="198" spans="33:39">
      <c r="AG198" s="12"/>
      <c r="AH198" s="12"/>
      <c r="AI198" s="12"/>
      <c r="AJ198" s="18"/>
      <c r="AK198" s="19"/>
      <c r="AL198" s="18"/>
      <c r="AM198" s="19"/>
    </row>
    <row r="199" spans="33:39">
      <c r="AG199" s="12"/>
      <c r="AH199" s="12"/>
      <c r="AI199" s="12"/>
      <c r="AJ199" s="18"/>
      <c r="AK199" s="19"/>
      <c r="AL199" s="18"/>
      <c r="AM199" s="19"/>
    </row>
    <row r="200" spans="33:39">
      <c r="AG200" s="12"/>
      <c r="AH200" s="12"/>
      <c r="AI200" s="12"/>
      <c r="AJ200" s="18"/>
      <c r="AK200" s="19"/>
      <c r="AL200" s="18"/>
      <c r="AM200" s="19"/>
    </row>
    <row r="201" spans="33:39">
      <c r="AG201" s="12"/>
      <c r="AH201" s="12"/>
      <c r="AI201" s="12"/>
      <c r="AJ201" s="18"/>
      <c r="AK201" s="19"/>
      <c r="AL201" s="18"/>
      <c r="AM201" s="19"/>
    </row>
    <row r="202" spans="33:39">
      <c r="AG202" s="12"/>
      <c r="AH202" s="12"/>
      <c r="AI202" s="12"/>
      <c r="AJ202" s="18"/>
      <c r="AK202" s="19"/>
      <c r="AL202" s="18"/>
      <c r="AM202" s="19"/>
    </row>
    <row r="203" spans="33:39">
      <c r="AG203" s="12"/>
      <c r="AH203" s="12"/>
      <c r="AI203" s="12"/>
      <c r="AJ203" s="18"/>
      <c r="AK203" s="19"/>
      <c r="AL203" s="18"/>
      <c r="AM203" s="19"/>
    </row>
    <row r="204" spans="33:39">
      <c r="AG204" s="12"/>
      <c r="AH204" s="12"/>
      <c r="AI204" s="12"/>
      <c r="AJ204" s="18"/>
      <c r="AK204" s="19"/>
      <c r="AL204" s="18"/>
      <c r="AM204" s="19"/>
    </row>
    <row r="205" spans="33:39">
      <c r="AG205" s="12"/>
      <c r="AH205" s="12"/>
      <c r="AI205" s="12"/>
      <c r="AJ205" s="18"/>
      <c r="AK205" s="19"/>
      <c r="AL205" s="18"/>
      <c r="AM205" s="19"/>
    </row>
    <row r="206" spans="33:39">
      <c r="AG206" s="12"/>
      <c r="AH206" s="12"/>
      <c r="AI206" s="12"/>
      <c r="AJ206" s="18"/>
      <c r="AK206" s="19"/>
      <c r="AL206" s="18"/>
      <c r="AM206" s="19"/>
    </row>
    <row r="207" spans="33:39">
      <c r="AG207" s="12"/>
      <c r="AH207" s="12"/>
      <c r="AI207" s="12"/>
      <c r="AJ207" s="18"/>
      <c r="AK207" s="19"/>
      <c r="AL207" s="18"/>
      <c r="AM207" s="19"/>
    </row>
    <row r="208" spans="33:39">
      <c r="AG208" s="12"/>
      <c r="AH208" s="12"/>
      <c r="AI208" s="12"/>
      <c r="AJ208" s="18"/>
      <c r="AK208" s="19"/>
      <c r="AL208" s="18"/>
      <c r="AM208" s="19"/>
    </row>
    <row r="209" spans="33:39">
      <c r="AG209" s="12"/>
      <c r="AH209" s="12"/>
      <c r="AI209" s="12"/>
      <c r="AJ209" s="18"/>
      <c r="AK209" s="19"/>
      <c r="AL209" s="18"/>
      <c r="AM209" s="19"/>
    </row>
    <row r="210" spans="33:39">
      <c r="AG210" s="12"/>
      <c r="AH210" s="12"/>
      <c r="AI210" s="12"/>
      <c r="AJ210" s="18"/>
      <c r="AK210" s="19"/>
      <c r="AL210" s="18"/>
      <c r="AM210" s="19"/>
    </row>
    <row r="211" spans="33:39">
      <c r="AG211" s="12"/>
      <c r="AH211" s="12"/>
      <c r="AI211" s="12"/>
      <c r="AJ211" s="18"/>
      <c r="AK211" s="19"/>
      <c r="AL211" s="18"/>
      <c r="AM211" s="19"/>
    </row>
    <row r="212" spans="33:39">
      <c r="AG212" s="12"/>
      <c r="AH212" s="12"/>
      <c r="AI212" s="12"/>
      <c r="AJ212" s="18"/>
      <c r="AK212" s="19"/>
      <c r="AL212" s="18"/>
      <c r="AM212" s="19"/>
    </row>
    <row r="213" spans="33:39">
      <c r="AG213" s="12"/>
      <c r="AH213" s="12"/>
      <c r="AI213" s="12"/>
      <c r="AJ213" s="18"/>
      <c r="AK213" s="19"/>
      <c r="AL213" s="18"/>
      <c r="AM213" s="19"/>
    </row>
    <row r="214" spans="33:39">
      <c r="AG214" s="12"/>
      <c r="AH214" s="12"/>
      <c r="AI214" s="12"/>
      <c r="AJ214" s="18"/>
      <c r="AK214" s="19"/>
      <c r="AL214" s="18"/>
      <c r="AM214" s="19"/>
    </row>
    <row r="215" spans="33:39">
      <c r="AG215" s="12"/>
      <c r="AH215" s="12"/>
      <c r="AI215" s="12"/>
      <c r="AJ215" s="18"/>
      <c r="AK215" s="19"/>
      <c r="AL215" s="18"/>
      <c r="AM215" s="19"/>
    </row>
    <row r="216" spans="33:39">
      <c r="AG216" s="12"/>
      <c r="AH216" s="12"/>
      <c r="AI216" s="12"/>
      <c r="AJ216" s="18"/>
      <c r="AK216" s="19"/>
      <c r="AL216" s="18"/>
      <c r="AM216" s="19"/>
    </row>
    <row r="217" spans="33:39">
      <c r="AG217" s="12"/>
      <c r="AH217" s="12"/>
      <c r="AI217" s="12"/>
      <c r="AJ217" s="18"/>
      <c r="AK217" s="19"/>
      <c r="AL217" s="18"/>
      <c r="AM217" s="19"/>
    </row>
    <row r="218" spans="33:39">
      <c r="AG218" s="12"/>
      <c r="AH218" s="12"/>
      <c r="AI218" s="12"/>
      <c r="AJ218" s="18"/>
      <c r="AK218" s="19"/>
      <c r="AL218" s="18"/>
      <c r="AM218" s="19"/>
    </row>
    <row r="219" spans="33:39">
      <c r="AG219" s="12"/>
      <c r="AH219" s="12"/>
      <c r="AI219" s="12"/>
      <c r="AJ219" s="18"/>
      <c r="AK219" s="19"/>
      <c r="AL219" s="18"/>
      <c r="AM219" s="19"/>
    </row>
    <row r="220" spans="33:39">
      <c r="AG220" s="12"/>
      <c r="AH220" s="12"/>
      <c r="AI220" s="12"/>
      <c r="AJ220" s="18"/>
      <c r="AK220" s="19"/>
      <c r="AL220" s="18"/>
      <c r="AM220" s="19"/>
    </row>
    <row r="221" spans="33:39">
      <c r="AG221" s="12"/>
      <c r="AH221" s="12"/>
      <c r="AI221" s="12"/>
      <c r="AJ221" s="18"/>
      <c r="AK221" s="19"/>
      <c r="AL221" s="18"/>
      <c r="AM221" s="19"/>
    </row>
    <row r="222" spans="33:39">
      <c r="AG222" s="12"/>
      <c r="AH222" s="12"/>
      <c r="AI222" s="12"/>
      <c r="AJ222" s="18"/>
      <c r="AK222" s="19"/>
      <c r="AL222" s="18"/>
      <c r="AM222" s="19"/>
    </row>
    <row r="223" spans="33:39">
      <c r="AG223" s="12"/>
      <c r="AH223" s="12"/>
      <c r="AI223" s="12"/>
      <c r="AJ223" s="18"/>
      <c r="AK223" s="19"/>
      <c r="AL223" s="18"/>
      <c r="AM223" s="19"/>
    </row>
    <row r="224" spans="33:39">
      <c r="AG224" s="12"/>
      <c r="AH224" s="12"/>
      <c r="AI224" s="12"/>
      <c r="AJ224" s="18"/>
      <c r="AK224" s="19"/>
      <c r="AL224" s="18"/>
      <c r="AM224" s="19"/>
    </row>
    <row r="225" spans="33:39">
      <c r="AG225" s="12"/>
      <c r="AH225" s="12"/>
      <c r="AI225" s="12"/>
      <c r="AJ225" s="18"/>
      <c r="AK225" s="19"/>
      <c r="AL225" s="18"/>
      <c r="AM225" s="19"/>
    </row>
    <row r="226" spans="33:39">
      <c r="AG226" s="12"/>
      <c r="AH226" s="32"/>
      <c r="AI226" s="12"/>
      <c r="AJ226" s="18"/>
      <c r="AK226" s="19"/>
      <c r="AL226" s="18"/>
      <c r="AM226" s="19"/>
    </row>
    <row r="227" spans="33:39">
      <c r="AG227" s="12"/>
      <c r="AH227" s="12"/>
      <c r="AI227" s="12"/>
      <c r="AJ227" s="18"/>
      <c r="AK227" s="19"/>
      <c r="AL227" s="18"/>
      <c r="AM227" s="19"/>
    </row>
    <row r="228" spans="33:39">
      <c r="AG228" s="12"/>
      <c r="AH228" s="12"/>
      <c r="AI228" s="12"/>
      <c r="AJ228" s="18"/>
      <c r="AK228" s="19"/>
      <c r="AL228" s="18"/>
      <c r="AM228" s="19"/>
    </row>
    <row r="229" spans="33:39">
      <c r="AG229" s="12"/>
      <c r="AH229" s="12"/>
      <c r="AI229" s="12"/>
      <c r="AJ229" s="18"/>
      <c r="AK229" s="19"/>
      <c r="AL229" s="18"/>
      <c r="AM229" s="19"/>
    </row>
    <row r="230" spans="33:39">
      <c r="AG230" s="12"/>
      <c r="AH230" s="12"/>
      <c r="AI230" s="12"/>
      <c r="AJ230" s="18"/>
      <c r="AK230" s="19"/>
      <c r="AL230" s="18"/>
      <c r="AM230" s="19"/>
    </row>
    <row r="231" spans="33:39">
      <c r="AG231" s="12"/>
      <c r="AH231" s="12"/>
      <c r="AI231" s="12"/>
      <c r="AJ231" s="18"/>
      <c r="AK231" s="19"/>
      <c r="AL231" s="18"/>
      <c r="AM231" s="19"/>
    </row>
    <row r="232" spans="33:39">
      <c r="AG232" s="12"/>
      <c r="AH232" s="12"/>
      <c r="AI232" s="12"/>
      <c r="AJ232" s="18"/>
      <c r="AK232" s="19"/>
      <c r="AL232" s="18"/>
      <c r="AM232" s="19"/>
    </row>
    <row r="233" spans="33:39">
      <c r="AG233" s="12"/>
      <c r="AH233" s="12"/>
      <c r="AI233" s="12"/>
      <c r="AJ233" s="18"/>
      <c r="AK233" s="19"/>
      <c r="AL233" s="18"/>
      <c r="AM233" s="19"/>
    </row>
    <row r="234" spans="33:39">
      <c r="AG234" s="12"/>
      <c r="AH234" s="12"/>
      <c r="AI234" s="12"/>
      <c r="AJ234" s="18"/>
      <c r="AK234" s="19"/>
      <c r="AL234" s="18"/>
      <c r="AM234" s="19"/>
    </row>
    <row r="235" spans="33:39">
      <c r="AG235" s="12"/>
      <c r="AH235" s="12"/>
      <c r="AI235" s="12"/>
      <c r="AJ235" s="18"/>
      <c r="AK235" s="19"/>
      <c r="AL235" s="18"/>
      <c r="AM235" s="19"/>
    </row>
    <row r="236" spans="33:39">
      <c r="AG236" s="12"/>
      <c r="AH236" s="12"/>
      <c r="AI236" s="12"/>
      <c r="AJ236" s="18"/>
      <c r="AK236" s="19"/>
      <c r="AL236" s="18"/>
      <c r="AM236" s="19"/>
    </row>
    <row r="237" spans="33:39">
      <c r="AG237" s="12"/>
      <c r="AH237" s="12"/>
      <c r="AI237" s="12"/>
      <c r="AJ237" s="18"/>
      <c r="AK237" s="19"/>
      <c r="AL237" s="18"/>
      <c r="AM237" s="19"/>
    </row>
    <row r="238" spans="33:39">
      <c r="AG238" s="12"/>
      <c r="AH238" s="12"/>
      <c r="AI238" s="12"/>
      <c r="AJ238" s="18"/>
      <c r="AK238" s="19"/>
      <c r="AL238" s="18"/>
      <c r="AM238" s="19"/>
    </row>
    <row r="239" spans="33:39">
      <c r="AG239" s="12"/>
      <c r="AH239" s="12"/>
      <c r="AI239" s="12"/>
      <c r="AJ239" s="18"/>
      <c r="AK239" s="19"/>
      <c r="AL239" s="18"/>
      <c r="AM239" s="19"/>
    </row>
    <row r="240" spans="33:39">
      <c r="AG240" s="12"/>
      <c r="AH240" s="12"/>
      <c r="AI240" s="12"/>
      <c r="AJ240" s="18"/>
      <c r="AK240" s="19"/>
      <c r="AL240" s="18"/>
      <c r="AM240" s="19"/>
    </row>
    <row r="241" spans="33:39">
      <c r="AG241" s="12"/>
      <c r="AH241" s="12"/>
      <c r="AI241" s="12"/>
      <c r="AJ241" s="18"/>
      <c r="AK241" s="19"/>
      <c r="AL241" s="18"/>
      <c r="AM241" s="19"/>
    </row>
    <row r="242" spans="33:39">
      <c r="AG242" s="12"/>
      <c r="AH242" s="12"/>
      <c r="AI242" s="12"/>
      <c r="AJ242" s="18"/>
      <c r="AK242" s="19"/>
      <c r="AL242" s="18"/>
      <c r="AM242" s="19"/>
    </row>
    <row r="243" spans="33:39">
      <c r="AG243" s="12"/>
      <c r="AH243" s="12"/>
      <c r="AI243" s="12"/>
      <c r="AJ243" s="18"/>
      <c r="AK243" s="19"/>
      <c r="AL243" s="18"/>
      <c r="AM243" s="19"/>
    </row>
    <row r="244" spans="33:39">
      <c r="AG244" s="12"/>
      <c r="AH244" s="12"/>
      <c r="AI244" s="12"/>
      <c r="AJ244" s="18"/>
      <c r="AK244" s="19"/>
      <c r="AL244" s="18"/>
      <c r="AM244" s="19"/>
    </row>
    <row r="245" spans="33:39">
      <c r="AG245" s="12"/>
      <c r="AH245" s="12"/>
      <c r="AI245" s="12"/>
      <c r="AJ245" s="18"/>
      <c r="AK245" s="19"/>
      <c r="AL245" s="18"/>
      <c r="AM245" s="19"/>
    </row>
    <row r="246" spans="33:39">
      <c r="AG246" s="12"/>
      <c r="AH246" s="12"/>
      <c r="AI246" s="12"/>
      <c r="AJ246" s="18"/>
      <c r="AK246" s="19"/>
      <c r="AL246" s="18"/>
      <c r="AM246" s="19"/>
    </row>
    <row r="247" spans="33:39">
      <c r="AG247" s="12"/>
      <c r="AH247" s="12"/>
      <c r="AI247" s="12"/>
      <c r="AJ247" s="18"/>
      <c r="AK247" s="19"/>
      <c r="AL247" s="18"/>
      <c r="AM247" s="19"/>
    </row>
    <row r="248" spans="33:39">
      <c r="AG248" s="12"/>
      <c r="AH248" s="32"/>
      <c r="AI248" s="12"/>
      <c r="AJ248" s="18"/>
      <c r="AK248" s="19"/>
      <c r="AL248" s="18"/>
      <c r="AM248" s="19"/>
    </row>
    <row r="249" spans="33:39">
      <c r="AG249" s="12"/>
      <c r="AH249" s="12"/>
      <c r="AI249" s="12"/>
      <c r="AJ249" s="18"/>
      <c r="AK249" s="19"/>
      <c r="AL249" s="18"/>
      <c r="AM249" s="19"/>
    </row>
    <row r="250" spans="33:39">
      <c r="AG250" s="12"/>
      <c r="AH250" s="12"/>
      <c r="AI250" s="12"/>
      <c r="AJ250" s="18"/>
      <c r="AK250" s="19"/>
      <c r="AL250" s="18"/>
      <c r="AM250" s="19"/>
    </row>
    <row r="251" spans="33:39">
      <c r="AG251" s="12"/>
      <c r="AH251" s="12"/>
      <c r="AI251" s="12"/>
      <c r="AJ251" s="18"/>
      <c r="AK251" s="19"/>
      <c r="AL251" s="18"/>
      <c r="AM251" s="19"/>
    </row>
    <row r="252" spans="33:39">
      <c r="AG252" s="12"/>
      <c r="AH252" s="12"/>
      <c r="AI252" s="12"/>
      <c r="AJ252" s="18"/>
      <c r="AK252" s="19"/>
      <c r="AL252" s="18"/>
      <c r="AM252" s="19"/>
    </row>
    <row r="253" spans="33:39">
      <c r="AG253" s="12"/>
      <c r="AH253" s="12"/>
      <c r="AI253" s="12"/>
      <c r="AJ253" s="18"/>
      <c r="AK253" s="19"/>
      <c r="AL253" s="18"/>
      <c r="AM253" s="19"/>
    </row>
    <row r="254" spans="33:39">
      <c r="AG254" s="12"/>
      <c r="AH254" s="12"/>
      <c r="AI254" s="12"/>
      <c r="AJ254" s="18"/>
      <c r="AK254" s="19"/>
      <c r="AL254" s="18"/>
      <c r="AM254" s="19"/>
    </row>
    <row r="255" spans="33:39">
      <c r="AG255" s="12"/>
      <c r="AH255" s="12"/>
      <c r="AI255" s="12"/>
      <c r="AJ255" s="18"/>
      <c r="AK255" s="19"/>
      <c r="AL255" s="18"/>
      <c r="AM255" s="19"/>
    </row>
    <row r="256" spans="33:39">
      <c r="AG256" s="12"/>
      <c r="AH256" s="12"/>
      <c r="AI256" s="12"/>
      <c r="AJ256" s="18"/>
      <c r="AK256" s="19"/>
      <c r="AL256" s="18"/>
      <c r="AM256" s="19"/>
    </row>
    <row r="257" spans="33:39">
      <c r="AG257" s="12"/>
      <c r="AH257" s="12"/>
      <c r="AI257" s="12"/>
      <c r="AJ257" s="18"/>
      <c r="AK257" s="19"/>
      <c r="AL257" s="18"/>
      <c r="AM257" s="19"/>
    </row>
    <row r="258" spans="33:39">
      <c r="AG258" s="12"/>
      <c r="AH258" s="12"/>
      <c r="AI258" s="12"/>
      <c r="AJ258" s="18"/>
      <c r="AK258" s="19"/>
      <c r="AL258" s="18"/>
      <c r="AM258" s="19"/>
    </row>
    <row r="259" spans="33:39">
      <c r="AG259" s="12"/>
      <c r="AH259" s="12"/>
      <c r="AI259" s="12"/>
      <c r="AJ259" s="18"/>
      <c r="AK259" s="19"/>
      <c r="AL259" s="18"/>
      <c r="AM259" s="19"/>
    </row>
    <row r="260" spans="33:39">
      <c r="AG260" s="12"/>
      <c r="AH260" s="12"/>
      <c r="AI260" s="12"/>
      <c r="AJ260" s="18"/>
      <c r="AK260" s="19"/>
      <c r="AL260" s="18"/>
      <c r="AM260" s="19"/>
    </row>
    <row r="261" spans="33:39">
      <c r="AG261" s="12"/>
      <c r="AH261" s="12"/>
      <c r="AI261" s="12"/>
      <c r="AJ261" s="18"/>
      <c r="AK261" s="19"/>
      <c r="AL261" s="18"/>
      <c r="AM261" s="19"/>
    </row>
    <row r="262" spans="33:39">
      <c r="AG262" s="12"/>
      <c r="AH262" s="12"/>
      <c r="AI262" s="12"/>
      <c r="AJ262" s="18"/>
      <c r="AK262" s="19"/>
      <c r="AL262" s="18"/>
      <c r="AM262" s="19"/>
    </row>
    <row r="263" spans="33:39">
      <c r="AG263" s="12"/>
      <c r="AH263" s="12"/>
      <c r="AI263" s="12"/>
      <c r="AJ263" s="18"/>
      <c r="AK263" s="19"/>
      <c r="AL263" s="18"/>
      <c r="AM263" s="19"/>
    </row>
    <row r="264" spans="33:39">
      <c r="AG264" s="12"/>
      <c r="AH264" s="12"/>
      <c r="AI264" s="12"/>
      <c r="AJ264" s="18"/>
      <c r="AK264" s="19"/>
      <c r="AL264" s="18"/>
      <c r="AM264" s="19"/>
    </row>
    <row r="265" spans="33:39">
      <c r="AG265" s="12"/>
      <c r="AH265" s="12"/>
      <c r="AI265" s="12"/>
      <c r="AJ265" s="18"/>
      <c r="AK265" s="19"/>
      <c r="AL265" s="18"/>
      <c r="AM265" s="19"/>
    </row>
    <row r="266" spans="33:39">
      <c r="AG266" s="12"/>
      <c r="AH266" s="12"/>
      <c r="AI266" s="12"/>
      <c r="AJ266" s="18"/>
      <c r="AK266" s="19"/>
      <c r="AL266" s="18"/>
      <c r="AM266" s="19"/>
    </row>
    <row r="267" spans="33:39">
      <c r="AG267" s="12"/>
      <c r="AH267" s="12"/>
      <c r="AI267" s="12"/>
      <c r="AJ267" s="18"/>
      <c r="AK267" s="19"/>
      <c r="AL267" s="18"/>
      <c r="AM267" s="19"/>
    </row>
    <row r="268" spans="33:39">
      <c r="AG268" s="12"/>
      <c r="AH268" s="12"/>
      <c r="AI268" s="12"/>
      <c r="AJ268" s="18"/>
      <c r="AK268" s="19"/>
      <c r="AL268" s="18"/>
      <c r="AM268" s="19"/>
    </row>
    <row r="269" spans="33:39">
      <c r="AG269" s="12"/>
      <c r="AH269" s="12"/>
      <c r="AI269" s="12"/>
      <c r="AJ269" s="18"/>
      <c r="AK269" s="19"/>
      <c r="AL269" s="18"/>
      <c r="AM269" s="19"/>
    </row>
    <row r="270" spans="33:39">
      <c r="AG270" s="12"/>
      <c r="AH270" s="12"/>
      <c r="AI270" s="12"/>
      <c r="AJ270" s="18"/>
      <c r="AK270" s="19"/>
      <c r="AL270" s="18"/>
      <c r="AM270" s="19"/>
    </row>
    <row r="271" spans="33:39">
      <c r="AG271" s="12"/>
      <c r="AH271" s="12"/>
      <c r="AI271" s="12"/>
      <c r="AJ271" s="18"/>
      <c r="AK271" s="19"/>
      <c r="AL271" s="18"/>
      <c r="AM271" s="19"/>
    </row>
    <row r="272" spans="33:39">
      <c r="AG272" s="12"/>
      <c r="AH272" s="12"/>
      <c r="AI272" s="12"/>
      <c r="AJ272" s="18"/>
      <c r="AK272" s="19"/>
      <c r="AL272" s="18"/>
      <c r="AM272" s="19"/>
    </row>
    <row r="273" spans="33:39">
      <c r="AG273" s="12"/>
      <c r="AH273" s="12"/>
      <c r="AI273" s="12"/>
      <c r="AJ273" s="18"/>
      <c r="AK273" s="19"/>
      <c r="AL273" s="18"/>
      <c r="AM273" s="19"/>
    </row>
    <row r="274" spans="33:39">
      <c r="AG274" s="12"/>
      <c r="AH274" s="12"/>
      <c r="AI274" s="12"/>
      <c r="AJ274" s="18"/>
      <c r="AK274" s="19"/>
      <c r="AL274" s="18"/>
      <c r="AM274" s="19"/>
    </row>
    <row r="275" spans="33:39">
      <c r="AG275" s="12"/>
      <c r="AH275" s="12"/>
      <c r="AI275" s="12"/>
      <c r="AJ275" s="18"/>
      <c r="AK275" s="19"/>
      <c r="AL275" s="18"/>
      <c r="AM275" s="19"/>
    </row>
    <row r="276" spans="33:39">
      <c r="AG276" s="12"/>
      <c r="AH276" s="12"/>
      <c r="AI276" s="12"/>
      <c r="AJ276" s="18"/>
      <c r="AK276" s="19"/>
      <c r="AL276" s="18"/>
      <c r="AM276" s="19"/>
    </row>
    <row r="277" spans="33:39">
      <c r="AG277" s="12"/>
      <c r="AH277" s="12"/>
      <c r="AI277" s="12"/>
      <c r="AJ277" s="18"/>
      <c r="AK277" s="19"/>
      <c r="AL277" s="18"/>
      <c r="AM277" s="19"/>
    </row>
    <row r="278" spans="33:39">
      <c r="AG278" s="12"/>
      <c r="AH278" s="12"/>
      <c r="AI278" s="12"/>
      <c r="AJ278" s="18"/>
      <c r="AK278" s="19"/>
      <c r="AL278" s="18"/>
      <c r="AM278" s="19"/>
    </row>
    <row r="279" spans="33:39">
      <c r="AG279" s="12"/>
      <c r="AH279" s="12"/>
      <c r="AI279" s="12"/>
      <c r="AJ279" s="18"/>
      <c r="AK279" s="19"/>
      <c r="AL279" s="18"/>
      <c r="AM279" s="19"/>
    </row>
    <row r="280" spans="33:39">
      <c r="AG280" s="12"/>
      <c r="AH280" s="12"/>
      <c r="AI280" s="12"/>
      <c r="AJ280" s="18"/>
      <c r="AK280" s="19"/>
      <c r="AL280" s="18"/>
      <c r="AM280" s="19"/>
    </row>
    <row r="281" spans="33:39">
      <c r="AG281" s="12"/>
      <c r="AH281" s="12"/>
      <c r="AI281" s="12"/>
      <c r="AJ281" s="18"/>
      <c r="AK281" s="19"/>
      <c r="AL281" s="18"/>
      <c r="AM281" s="19"/>
    </row>
    <row r="282" spans="33:39">
      <c r="AG282" s="12"/>
      <c r="AH282" s="12"/>
      <c r="AI282" s="12"/>
      <c r="AJ282" s="18"/>
      <c r="AK282" s="19"/>
      <c r="AL282" s="18"/>
      <c r="AM282" s="19"/>
    </row>
    <row r="283" spans="33:39">
      <c r="AG283" s="12"/>
      <c r="AH283" s="12"/>
      <c r="AI283" s="12"/>
      <c r="AJ283" s="18"/>
      <c r="AK283" s="19"/>
      <c r="AL283" s="18"/>
      <c r="AM283" s="19"/>
    </row>
    <row r="284" spans="33:39">
      <c r="AG284" s="12"/>
      <c r="AH284" s="12"/>
      <c r="AI284" s="12"/>
      <c r="AJ284" s="18"/>
      <c r="AK284" s="19"/>
      <c r="AL284" s="18"/>
      <c r="AM284" s="19"/>
    </row>
    <row r="285" spans="33:39">
      <c r="AG285" s="12"/>
      <c r="AH285" s="12"/>
      <c r="AI285" s="12"/>
      <c r="AJ285" s="18"/>
      <c r="AK285" s="19"/>
      <c r="AL285" s="18"/>
      <c r="AM285" s="19"/>
    </row>
    <row r="286" spans="33:39">
      <c r="AG286" s="12"/>
      <c r="AH286" s="12"/>
      <c r="AI286" s="12"/>
      <c r="AJ286" s="18"/>
      <c r="AK286" s="19"/>
      <c r="AL286" s="18"/>
      <c r="AM286" s="19"/>
    </row>
    <row r="287" spans="33:39">
      <c r="AG287" s="12"/>
      <c r="AH287" s="12"/>
      <c r="AI287" s="12"/>
      <c r="AJ287" s="18"/>
      <c r="AK287" s="19"/>
      <c r="AL287" s="18"/>
      <c r="AM287" s="19"/>
    </row>
    <row r="288" spans="33:39">
      <c r="AG288" s="12"/>
      <c r="AH288" s="12"/>
      <c r="AI288" s="12"/>
      <c r="AJ288" s="18"/>
      <c r="AK288" s="19"/>
      <c r="AL288" s="18"/>
      <c r="AM288" s="19"/>
    </row>
    <row r="289" spans="33:39">
      <c r="AG289" s="12"/>
      <c r="AH289" s="12"/>
      <c r="AI289" s="12"/>
      <c r="AJ289" s="18"/>
      <c r="AK289" s="19"/>
      <c r="AL289" s="18"/>
      <c r="AM289" s="19"/>
    </row>
    <row r="290" spans="33:39">
      <c r="AG290" s="12"/>
      <c r="AH290" s="12"/>
      <c r="AI290" s="12"/>
      <c r="AJ290" s="18"/>
      <c r="AK290" s="19"/>
      <c r="AL290" s="18"/>
      <c r="AM290" s="19"/>
    </row>
    <row r="291" spans="33:39">
      <c r="AG291" s="12"/>
      <c r="AH291" s="12"/>
      <c r="AI291" s="12"/>
      <c r="AJ291" s="18"/>
      <c r="AK291" s="19"/>
      <c r="AL291" s="18"/>
      <c r="AM291" s="19"/>
    </row>
    <row r="292" spans="33:39">
      <c r="AG292" s="12"/>
      <c r="AH292" s="12"/>
      <c r="AI292" s="12"/>
      <c r="AJ292" s="18"/>
      <c r="AK292" s="19"/>
      <c r="AL292" s="18"/>
      <c r="AM292" s="19"/>
    </row>
    <row r="293" spans="33:39">
      <c r="AG293" s="12"/>
      <c r="AH293" s="12"/>
      <c r="AI293" s="12"/>
      <c r="AJ293" s="18"/>
      <c r="AK293" s="19"/>
      <c r="AL293" s="18"/>
      <c r="AM293" s="19"/>
    </row>
    <row r="294" spans="33:39">
      <c r="AG294" s="12"/>
      <c r="AH294" s="12"/>
      <c r="AI294" s="12"/>
      <c r="AJ294" s="18"/>
      <c r="AK294" s="19"/>
      <c r="AL294" s="18"/>
      <c r="AM294" s="19"/>
    </row>
    <row r="295" spans="33:39">
      <c r="AG295" s="12"/>
      <c r="AH295" s="12"/>
      <c r="AI295" s="12"/>
      <c r="AJ295" s="18"/>
      <c r="AK295" s="19"/>
      <c r="AL295" s="18"/>
      <c r="AM295" s="19"/>
    </row>
    <row r="296" spans="33:39">
      <c r="AG296" s="12"/>
      <c r="AH296" s="12"/>
      <c r="AI296" s="12"/>
      <c r="AJ296" s="18"/>
      <c r="AK296" s="19"/>
      <c r="AL296" s="18"/>
      <c r="AM296" s="19"/>
    </row>
    <row r="297" spans="33:39">
      <c r="AG297" s="12"/>
      <c r="AH297" s="12"/>
      <c r="AI297" s="12"/>
      <c r="AJ297" s="18"/>
      <c r="AK297" s="19"/>
      <c r="AL297" s="18"/>
      <c r="AM297" s="19"/>
    </row>
    <row r="298" spans="33:39">
      <c r="AG298" s="12"/>
      <c r="AH298" s="12"/>
      <c r="AI298" s="12"/>
      <c r="AJ298" s="18"/>
      <c r="AK298" s="19"/>
      <c r="AL298" s="18"/>
      <c r="AM298" s="19"/>
    </row>
    <row r="299" spans="33:39">
      <c r="AG299" s="12"/>
      <c r="AH299" s="12"/>
      <c r="AI299" s="12"/>
      <c r="AJ299" s="18"/>
      <c r="AK299" s="19"/>
      <c r="AL299" s="18"/>
      <c r="AM299" s="19"/>
    </row>
    <row r="300" spans="33:39">
      <c r="AG300" s="12"/>
      <c r="AH300" s="12"/>
      <c r="AI300" s="12"/>
      <c r="AJ300" s="18"/>
      <c r="AK300" s="19"/>
      <c r="AL300" s="18"/>
      <c r="AM300" s="19"/>
    </row>
    <row r="301" spans="33:39">
      <c r="AG301" s="12"/>
      <c r="AH301" s="12"/>
      <c r="AI301" s="12"/>
      <c r="AJ301" s="18"/>
      <c r="AK301" s="19"/>
      <c r="AL301" s="18"/>
      <c r="AM301" s="19"/>
    </row>
    <row r="302" spans="33:39">
      <c r="AG302" s="12"/>
      <c r="AH302" s="12"/>
      <c r="AI302" s="12"/>
      <c r="AJ302" s="18"/>
      <c r="AK302" s="19"/>
      <c r="AL302" s="18"/>
      <c r="AM302" s="19"/>
    </row>
    <row r="303" spans="33:39">
      <c r="AG303" s="12"/>
      <c r="AH303" s="12"/>
      <c r="AI303" s="12"/>
      <c r="AJ303" s="18"/>
      <c r="AK303" s="19"/>
      <c r="AL303" s="18"/>
      <c r="AM303" s="19"/>
    </row>
    <row r="304" spans="33:39">
      <c r="AG304" s="12"/>
      <c r="AH304" s="12"/>
      <c r="AI304" s="12"/>
      <c r="AJ304" s="18"/>
      <c r="AK304" s="19"/>
      <c r="AL304" s="18"/>
      <c r="AM304" s="19"/>
    </row>
    <row r="305" spans="33:39">
      <c r="AG305" s="12"/>
      <c r="AH305" s="12"/>
      <c r="AI305" s="12"/>
      <c r="AJ305" s="18"/>
      <c r="AK305" s="19"/>
      <c r="AL305" s="18"/>
      <c r="AM305" s="19"/>
    </row>
    <row r="306" spans="33:39">
      <c r="AG306" s="12"/>
      <c r="AH306" s="12"/>
      <c r="AI306" s="12"/>
      <c r="AJ306" s="18"/>
      <c r="AK306" s="19"/>
      <c r="AL306" s="18"/>
      <c r="AM306" s="19"/>
    </row>
    <row r="307" spans="33:39">
      <c r="AG307" s="12"/>
      <c r="AH307" s="12"/>
      <c r="AI307" s="12"/>
      <c r="AJ307" s="18"/>
      <c r="AK307" s="19"/>
      <c r="AL307" s="18"/>
      <c r="AM307" s="19"/>
    </row>
    <row r="308" spans="33:39">
      <c r="AG308" s="12"/>
      <c r="AH308" s="12"/>
      <c r="AI308" s="12"/>
      <c r="AJ308" s="18"/>
      <c r="AK308" s="19"/>
      <c r="AL308" s="18"/>
      <c r="AM308" s="19"/>
    </row>
    <row r="309" spans="33:39">
      <c r="AG309" s="12"/>
      <c r="AH309" s="12"/>
      <c r="AI309" s="12"/>
      <c r="AJ309" s="18"/>
      <c r="AK309" s="19"/>
      <c r="AL309" s="18"/>
      <c r="AM309" s="19"/>
    </row>
    <row r="310" spans="33:39">
      <c r="AG310" s="12"/>
      <c r="AH310" s="12"/>
      <c r="AI310" s="12"/>
      <c r="AJ310" s="18"/>
      <c r="AK310" s="19"/>
      <c r="AL310" s="18"/>
      <c r="AM310" s="19"/>
    </row>
    <row r="311" spans="33:39">
      <c r="AG311" s="12"/>
      <c r="AH311" s="12"/>
      <c r="AI311" s="12"/>
      <c r="AJ311" s="18"/>
      <c r="AK311" s="19"/>
      <c r="AL311" s="18"/>
      <c r="AM311" s="19"/>
    </row>
    <row r="312" spans="33:39">
      <c r="AG312" s="12"/>
      <c r="AH312" s="12"/>
      <c r="AI312" s="12"/>
      <c r="AJ312" s="18"/>
      <c r="AK312" s="19"/>
      <c r="AL312" s="18"/>
      <c r="AM312" s="19"/>
    </row>
    <row r="313" spans="33:39">
      <c r="AG313" s="12"/>
      <c r="AH313" s="12"/>
      <c r="AI313" s="12"/>
      <c r="AJ313" s="18"/>
      <c r="AK313" s="19"/>
      <c r="AL313" s="18"/>
      <c r="AM313" s="19"/>
    </row>
    <row r="314" spans="33:39">
      <c r="AG314" s="12"/>
      <c r="AH314" s="12"/>
      <c r="AI314" s="12"/>
      <c r="AJ314" s="18"/>
      <c r="AK314" s="19"/>
      <c r="AL314" s="18"/>
      <c r="AM314" s="19"/>
    </row>
    <row r="315" spans="33:39">
      <c r="AG315" s="12"/>
      <c r="AH315" s="12"/>
      <c r="AI315" s="12"/>
      <c r="AJ315" s="18"/>
      <c r="AK315" s="19"/>
      <c r="AL315" s="18"/>
      <c r="AM315" s="19"/>
    </row>
    <row r="316" spans="33:39">
      <c r="AG316" s="12"/>
      <c r="AH316" s="12"/>
      <c r="AI316" s="12"/>
      <c r="AJ316" s="18"/>
      <c r="AK316" s="19"/>
      <c r="AL316" s="18"/>
      <c r="AM316" s="19"/>
    </row>
    <row r="317" spans="33:39">
      <c r="AG317" s="12"/>
      <c r="AH317" s="12"/>
      <c r="AI317" s="12"/>
      <c r="AJ317" s="18"/>
      <c r="AK317" s="19"/>
      <c r="AL317" s="18"/>
      <c r="AM317" s="19"/>
    </row>
    <row r="318" spans="33:39">
      <c r="AG318" s="12"/>
      <c r="AH318" s="12"/>
      <c r="AI318" s="12"/>
      <c r="AJ318" s="18"/>
      <c r="AK318" s="19"/>
      <c r="AL318" s="18"/>
      <c r="AM318" s="19"/>
    </row>
    <row r="319" spans="33:39">
      <c r="AG319" s="12"/>
      <c r="AH319" s="12"/>
      <c r="AI319" s="12"/>
      <c r="AJ319" s="18"/>
      <c r="AK319" s="19"/>
      <c r="AL319" s="18"/>
      <c r="AM319" s="19"/>
    </row>
    <row r="320" spans="33:39">
      <c r="AG320" s="12"/>
      <c r="AH320" s="12"/>
      <c r="AI320" s="12"/>
      <c r="AJ320" s="18"/>
      <c r="AK320" s="19"/>
      <c r="AL320" s="18"/>
      <c r="AM320" s="19"/>
    </row>
    <row r="321" spans="33:39">
      <c r="AG321" s="12"/>
      <c r="AH321" s="12"/>
      <c r="AI321" s="12"/>
      <c r="AJ321" s="18"/>
      <c r="AK321" s="19"/>
      <c r="AL321" s="18"/>
      <c r="AM321" s="19"/>
    </row>
    <row r="322" spans="33:39">
      <c r="AG322" s="12"/>
      <c r="AH322" s="12"/>
      <c r="AI322" s="12"/>
      <c r="AJ322" s="18"/>
      <c r="AK322" s="19"/>
      <c r="AL322" s="18"/>
      <c r="AM322" s="19"/>
    </row>
    <row r="323" spans="33:39">
      <c r="AG323" s="12"/>
      <c r="AH323" s="12"/>
      <c r="AI323" s="12"/>
      <c r="AJ323" s="18"/>
      <c r="AK323" s="19"/>
      <c r="AL323" s="18"/>
      <c r="AM323" s="19"/>
    </row>
    <row r="324" spans="33:39">
      <c r="AG324" s="12"/>
      <c r="AH324" s="12"/>
      <c r="AI324" s="12"/>
      <c r="AJ324" s="18"/>
      <c r="AK324" s="19"/>
      <c r="AL324" s="18"/>
      <c r="AM324" s="19"/>
    </row>
    <row r="325" spans="33:39">
      <c r="AG325" s="12"/>
      <c r="AH325" s="12"/>
      <c r="AI325" s="12"/>
      <c r="AJ325" s="18"/>
      <c r="AK325" s="19"/>
      <c r="AL325" s="18"/>
      <c r="AM325" s="19"/>
    </row>
    <row r="326" spans="33:39">
      <c r="AG326" s="12"/>
      <c r="AH326" s="12"/>
      <c r="AI326" s="12"/>
      <c r="AJ326" s="18"/>
      <c r="AK326" s="19"/>
      <c r="AL326" s="18"/>
      <c r="AM326" s="19"/>
    </row>
    <row r="327" spans="33:39">
      <c r="AG327" s="12"/>
      <c r="AH327" s="12"/>
      <c r="AI327" s="12"/>
      <c r="AJ327" s="18"/>
      <c r="AK327" s="19"/>
      <c r="AL327" s="18"/>
      <c r="AM327" s="19"/>
    </row>
    <row r="328" spans="33:39">
      <c r="AG328" s="12"/>
      <c r="AH328" s="12"/>
      <c r="AI328" s="12"/>
      <c r="AJ328" s="18"/>
      <c r="AK328" s="19"/>
      <c r="AL328" s="18"/>
      <c r="AM328" s="19"/>
    </row>
    <row r="329" spans="33:39">
      <c r="AG329" s="12"/>
      <c r="AH329" s="12"/>
      <c r="AI329" s="12"/>
      <c r="AJ329" s="18"/>
      <c r="AK329" s="19"/>
      <c r="AL329" s="18"/>
      <c r="AM329" s="19"/>
    </row>
    <row r="330" spans="33:39">
      <c r="AG330" s="12"/>
      <c r="AH330" s="12"/>
      <c r="AI330" s="12"/>
      <c r="AJ330" s="18"/>
      <c r="AK330" s="19"/>
      <c r="AL330" s="18"/>
      <c r="AM330" s="19"/>
    </row>
    <row r="331" spans="33:39">
      <c r="AG331" s="12"/>
      <c r="AH331" s="12"/>
      <c r="AI331" s="12"/>
      <c r="AJ331" s="18"/>
      <c r="AK331" s="19"/>
      <c r="AL331" s="18"/>
      <c r="AM331" s="19"/>
    </row>
    <row r="332" spans="33:39">
      <c r="AG332" s="12"/>
      <c r="AH332" s="12"/>
      <c r="AI332" s="12"/>
      <c r="AJ332" s="18"/>
      <c r="AK332" s="19"/>
      <c r="AL332" s="18"/>
      <c r="AM332" s="19"/>
    </row>
    <row r="333" spans="33:39">
      <c r="AG333" s="12"/>
      <c r="AH333" s="12"/>
      <c r="AI333" s="12"/>
      <c r="AJ333" s="18"/>
      <c r="AK333" s="19"/>
      <c r="AL333" s="18"/>
      <c r="AM333" s="19"/>
    </row>
    <row r="334" spans="33:39">
      <c r="AG334" s="12"/>
      <c r="AH334" s="12"/>
      <c r="AI334" s="12"/>
      <c r="AJ334" s="18"/>
      <c r="AK334" s="19"/>
      <c r="AL334" s="18"/>
      <c r="AM334" s="19"/>
    </row>
    <row r="335" spans="33:39">
      <c r="AG335" s="12"/>
      <c r="AH335" s="12"/>
      <c r="AI335" s="12"/>
      <c r="AJ335" s="18"/>
      <c r="AK335" s="19"/>
      <c r="AL335" s="18"/>
      <c r="AM335" s="19"/>
    </row>
    <row r="336" spans="33:39">
      <c r="AG336" s="12"/>
      <c r="AH336" s="12"/>
      <c r="AI336" s="12"/>
      <c r="AJ336" s="18"/>
      <c r="AK336" s="19"/>
      <c r="AL336" s="18"/>
      <c r="AM336" s="19"/>
    </row>
    <row r="337" spans="33:39">
      <c r="AG337" s="12"/>
      <c r="AH337" s="12"/>
      <c r="AI337" s="12"/>
      <c r="AJ337" s="18"/>
      <c r="AK337" s="19"/>
      <c r="AL337" s="18"/>
      <c r="AM337" s="19"/>
    </row>
    <row r="338" spans="33:39">
      <c r="AG338" s="12"/>
      <c r="AH338" s="12"/>
      <c r="AI338" s="12"/>
      <c r="AJ338" s="18"/>
      <c r="AK338" s="19"/>
      <c r="AL338" s="18"/>
      <c r="AM338" s="19"/>
    </row>
    <row r="339" spans="33:39">
      <c r="AG339" s="12"/>
      <c r="AH339" s="12"/>
      <c r="AI339" s="12"/>
      <c r="AJ339" s="18"/>
      <c r="AK339" s="19"/>
      <c r="AL339" s="18"/>
      <c r="AM339" s="19"/>
    </row>
    <row r="340" spans="33:39">
      <c r="AG340" s="12"/>
      <c r="AH340" s="12"/>
      <c r="AI340" s="12"/>
      <c r="AJ340" s="18"/>
      <c r="AK340" s="19"/>
      <c r="AL340" s="18"/>
      <c r="AM340" s="19"/>
    </row>
    <row r="341" spans="33:39">
      <c r="AG341" s="12"/>
      <c r="AH341" s="12"/>
      <c r="AI341" s="12"/>
      <c r="AJ341" s="18"/>
      <c r="AK341" s="19"/>
      <c r="AL341" s="18"/>
      <c r="AM341" s="19"/>
    </row>
    <row r="342" spans="33:39">
      <c r="AG342" s="12"/>
      <c r="AH342" s="12"/>
      <c r="AI342" s="12"/>
      <c r="AJ342" s="18"/>
      <c r="AK342" s="19"/>
      <c r="AL342" s="18"/>
      <c r="AM342" s="19"/>
    </row>
    <row r="343" spans="33:39">
      <c r="AG343" s="12"/>
      <c r="AH343" s="12"/>
      <c r="AI343" s="12"/>
      <c r="AJ343" s="18"/>
      <c r="AK343" s="19"/>
      <c r="AL343" s="18"/>
      <c r="AM343" s="19"/>
    </row>
    <row r="344" spans="33:39">
      <c r="AG344" s="12"/>
      <c r="AH344" s="12"/>
      <c r="AI344" s="12"/>
      <c r="AJ344" s="18"/>
      <c r="AK344" s="19"/>
      <c r="AL344" s="18"/>
      <c r="AM344" s="19"/>
    </row>
    <row r="345" spans="33:39">
      <c r="AG345" s="12"/>
      <c r="AH345" s="12"/>
      <c r="AI345" s="12"/>
      <c r="AJ345" s="18"/>
      <c r="AK345" s="19"/>
      <c r="AL345" s="18"/>
      <c r="AM345" s="19"/>
    </row>
    <row r="346" spans="33:39">
      <c r="AG346" s="12"/>
      <c r="AH346" s="12"/>
      <c r="AI346" s="12"/>
      <c r="AJ346" s="18"/>
      <c r="AK346" s="19"/>
      <c r="AL346" s="18"/>
      <c r="AM346" s="19"/>
    </row>
    <row r="347" spans="33:39">
      <c r="AG347" s="12"/>
      <c r="AH347" s="12"/>
      <c r="AI347" s="12"/>
      <c r="AJ347" s="18"/>
      <c r="AK347" s="19"/>
      <c r="AL347" s="18"/>
      <c r="AM347" s="19"/>
    </row>
    <row r="348" spans="33:39">
      <c r="AG348" s="12"/>
      <c r="AH348" s="12"/>
      <c r="AI348" s="12"/>
      <c r="AJ348" s="18"/>
      <c r="AK348" s="19"/>
      <c r="AL348" s="18"/>
      <c r="AM348" s="19"/>
    </row>
    <row r="349" spans="33:39">
      <c r="AG349" s="12"/>
      <c r="AH349" s="12"/>
      <c r="AI349" s="12"/>
      <c r="AJ349" s="18"/>
      <c r="AK349" s="19"/>
      <c r="AL349" s="18"/>
      <c r="AM349" s="19"/>
    </row>
    <row r="350" spans="33:39">
      <c r="AG350" s="12"/>
      <c r="AH350" s="12"/>
      <c r="AI350" s="12"/>
      <c r="AJ350" s="18"/>
      <c r="AK350" s="19"/>
      <c r="AL350" s="18"/>
      <c r="AM350" s="19"/>
    </row>
    <row r="351" spans="33:39">
      <c r="AG351" s="12"/>
      <c r="AH351" s="12"/>
      <c r="AI351" s="12"/>
      <c r="AJ351" s="18"/>
      <c r="AK351" s="19"/>
      <c r="AL351" s="18"/>
      <c r="AM351" s="19"/>
    </row>
    <row r="352" spans="33:39">
      <c r="AG352" s="12"/>
      <c r="AH352" s="12"/>
      <c r="AI352" s="12"/>
      <c r="AJ352" s="18"/>
      <c r="AK352" s="19"/>
      <c r="AL352" s="18"/>
      <c r="AM352" s="19"/>
    </row>
    <row r="353" spans="33:39">
      <c r="AG353" s="12"/>
      <c r="AH353" s="12"/>
      <c r="AI353" s="12"/>
      <c r="AJ353" s="18"/>
      <c r="AK353" s="19"/>
      <c r="AL353" s="18"/>
      <c r="AM353" s="19"/>
    </row>
    <row r="354" spans="33:39">
      <c r="AG354" s="12"/>
      <c r="AH354" s="12"/>
      <c r="AI354" s="12"/>
      <c r="AJ354" s="18"/>
      <c r="AK354" s="19"/>
      <c r="AL354" s="18"/>
      <c r="AM354" s="19"/>
    </row>
    <row r="355" spans="33:39">
      <c r="AG355" s="12"/>
      <c r="AH355" s="12"/>
      <c r="AI355" s="12"/>
      <c r="AJ355" s="18"/>
      <c r="AK355" s="19"/>
      <c r="AL355" s="18"/>
      <c r="AM355" s="19"/>
    </row>
    <row r="356" spans="33:39">
      <c r="AG356" s="12"/>
      <c r="AH356" s="12"/>
      <c r="AI356" s="12"/>
      <c r="AJ356" s="18"/>
      <c r="AK356" s="19"/>
      <c r="AL356" s="18"/>
      <c r="AM356" s="19"/>
    </row>
    <row r="357" spans="33:39">
      <c r="AG357" s="12"/>
      <c r="AH357" s="12"/>
      <c r="AI357" s="12"/>
      <c r="AJ357" s="18"/>
      <c r="AK357" s="19"/>
      <c r="AL357" s="18"/>
      <c r="AM357" s="19"/>
    </row>
    <row r="358" spans="33:39">
      <c r="AG358" s="12"/>
      <c r="AH358" s="12"/>
      <c r="AI358" s="12"/>
      <c r="AJ358" s="18"/>
      <c r="AK358" s="19"/>
      <c r="AL358" s="18"/>
      <c r="AM358" s="19"/>
    </row>
    <row r="359" spans="33:39">
      <c r="AG359" s="12"/>
      <c r="AH359" s="12"/>
      <c r="AI359" s="12"/>
      <c r="AJ359" s="18"/>
      <c r="AK359" s="19"/>
      <c r="AL359" s="18"/>
      <c r="AM359" s="19"/>
    </row>
    <row r="360" spans="33:39">
      <c r="AG360" s="12"/>
      <c r="AH360" s="12"/>
      <c r="AI360" s="12"/>
      <c r="AJ360" s="18"/>
      <c r="AK360" s="19"/>
      <c r="AL360" s="18"/>
      <c r="AM360" s="19"/>
    </row>
    <row r="361" spans="33:39">
      <c r="AG361" s="12"/>
      <c r="AH361" s="12"/>
      <c r="AI361" s="12"/>
      <c r="AJ361" s="18"/>
      <c r="AK361" s="19"/>
      <c r="AL361" s="18"/>
      <c r="AM361" s="19"/>
    </row>
    <row r="362" spans="33:39">
      <c r="AG362" s="12"/>
      <c r="AH362" s="12"/>
      <c r="AI362" s="12"/>
      <c r="AJ362" s="18"/>
      <c r="AK362" s="19"/>
      <c r="AL362" s="18"/>
      <c r="AM362" s="19"/>
    </row>
    <row r="363" spans="33:39">
      <c r="AG363" s="12"/>
      <c r="AH363" s="12"/>
      <c r="AI363" s="12"/>
      <c r="AJ363" s="18"/>
      <c r="AK363" s="19"/>
      <c r="AL363" s="18"/>
      <c r="AM363" s="19"/>
    </row>
    <row r="364" spans="33:39">
      <c r="AG364" s="12"/>
      <c r="AH364" s="12"/>
      <c r="AI364" s="12"/>
      <c r="AJ364" s="18"/>
      <c r="AK364" s="19"/>
      <c r="AL364" s="18"/>
      <c r="AM364" s="19"/>
    </row>
    <row r="365" spans="33:39">
      <c r="AG365" s="12"/>
      <c r="AH365" s="12"/>
      <c r="AI365" s="12"/>
      <c r="AJ365" s="18"/>
      <c r="AK365" s="19"/>
      <c r="AL365" s="18"/>
      <c r="AM365" s="19"/>
    </row>
    <row r="366" spans="33:39">
      <c r="AG366" s="12"/>
      <c r="AH366" s="12"/>
      <c r="AI366" s="12"/>
      <c r="AJ366" s="18"/>
      <c r="AK366" s="19"/>
      <c r="AL366" s="18"/>
      <c r="AM366" s="19"/>
    </row>
    <row r="367" spans="33:39">
      <c r="AG367" s="12"/>
      <c r="AH367" s="12"/>
      <c r="AI367" s="12"/>
      <c r="AJ367" s="18"/>
      <c r="AK367" s="19"/>
      <c r="AL367" s="18"/>
      <c r="AM367" s="19"/>
    </row>
    <row r="368" spans="33:39">
      <c r="AG368" s="12"/>
      <c r="AH368" s="12"/>
      <c r="AI368" s="12"/>
      <c r="AJ368" s="18"/>
      <c r="AK368" s="19"/>
      <c r="AL368" s="18"/>
      <c r="AM368" s="19"/>
    </row>
    <row r="369" spans="33:39">
      <c r="AG369" s="12"/>
      <c r="AH369" s="12"/>
      <c r="AI369" s="12"/>
      <c r="AJ369" s="18"/>
      <c r="AK369" s="19"/>
      <c r="AL369" s="18"/>
      <c r="AM369" s="19"/>
    </row>
    <row r="370" spans="33:39">
      <c r="AG370" s="12"/>
      <c r="AH370" s="12"/>
      <c r="AI370" s="12"/>
      <c r="AJ370" s="18"/>
      <c r="AK370" s="19"/>
      <c r="AL370" s="18"/>
      <c r="AM370" s="19"/>
    </row>
    <row r="371" spans="33:39">
      <c r="AG371" s="12"/>
      <c r="AH371" s="12"/>
      <c r="AI371" s="12"/>
      <c r="AJ371" s="18"/>
      <c r="AK371" s="19"/>
      <c r="AL371" s="18"/>
      <c r="AM371" s="19"/>
    </row>
    <row r="372" spans="33:39">
      <c r="AG372" s="12"/>
      <c r="AH372" s="12"/>
      <c r="AI372" s="12"/>
      <c r="AJ372" s="18"/>
      <c r="AK372" s="19"/>
      <c r="AL372" s="18"/>
      <c r="AM372" s="19"/>
    </row>
    <row r="373" spans="33:39">
      <c r="AG373" s="12"/>
      <c r="AH373" s="12"/>
      <c r="AI373" s="12"/>
      <c r="AJ373" s="18"/>
      <c r="AK373" s="19"/>
      <c r="AL373" s="18"/>
      <c r="AM373" s="19"/>
    </row>
    <row r="374" spans="33:39">
      <c r="AG374" s="12"/>
      <c r="AH374" s="12"/>
      <c r="AI374" s="12"/>
      <c r="AJ374" s="18"/>
      <c r="AK374" s="19"/>
      <c r="AL374" s="18"/>
      <c r="AM374" s="19"/>
    </row>
    <row r="375" spans="33:39">
      <c r="AG375" s="12"/>
      <c r="AH375" s="12"/>
      <c r="AI375" s="12"/>
      <c r="AJ375" s="18"/>
      <c r="AK375" s="19"/>
      <c r="AL375" s="18"/>
      <c r="AM375" s="19"/>
    </row>
    <row r="376" spans="33:39">
      <c r="AG376" s="12"/>
      <c r="AH376" s="12"/>
      <c r="AI376" s="12"/>
      <c r="AJ376" s="18"/>
      <c r="AK376" s="19"/>
      <c r="AL376" s="18"/>
      <c r="AM376" s="19"/>
    </row>
    <row r="377" spans="33:39">
      <c r="AG377" s="12"/>
      <c r="AH377" s="12"/>
      <c r="AI377" s="12"/>
      <c r="AJ377" s="18"/>
      <c r="AK377" s="19"/>
      <c r="AL377" s="18"/>
      <c r="AM377" s="19"/>
    </row>
    <row r="378" spans="33:39">
      <c r="AG378" s="12"/>
      <c r="AH378" s="12"/>
      <c r="AI378" s="12"/>
      <c r="AJ378" s="18"/>
      <c r="AK378" s="19"/>
      <c r="AL378" s="18"/>
      <c r="AM378" s="19"/>
    </row>
    <row r="379" spans="33:39">
      <c r="AG379" s="12"/>
      <c r="AH379" s="12"/>
      <c r="AI379" s="12"/>
      <c r="AJ379" s="18"/>
      <c r="AK379" s="19"/>
      <c r="AL379" s="18"/>
      <c r="AM379" s="19"/>
    </row>
    <row r="380" spans="33:39">
      <c r="AG380" s="12"/>
      <c r="AH380" s="12"/>
      <c r="AI380" s="12"/>
      <c r="AJ380" s="18"/>
      <c r="AK380" s="19"/>
      <c r="AL380" s="18"/>
      <c r="AM380" s="19"/>
    </row>
    <row r="381" spans="33:39">
      <c r="AG381" s="12"/>
      <c r="AH381" s="12"/>
      <c r="AI381" s="12"/>
      <c r="AJ381" s="18"/>
      <c r="AK381" s="19"/>
      <c r="AL381" s="18"/>
      <c r="AM381" s="19"/>
    </row>
    <row r="382" spans="33:39">
      <c r="AG382" s="12"/>
      <c r="AH382" s="12"/>
      <c r="AI382" s="12"/>
      <c r="AJ382" s="18"/>
      <c r="AK382" s="19"/>
      <c r="AL382" s="18"/>
      <c r="AM382" s="19"/>
    </row>
    <row r="383" spans="33:39">
      <c r="AG383" s="12"/>
      <c r="AH383" s="12"/>
      <c r="AI383" s="12"/>
      <c r="AJ383" s="18"/>
      <c r="AK383" s="19"/>
      <c r="AL383" s="18"/>
      <c r="AM383" s="19"/>
    </row>
    <row r="384" spans="33:39">
      <c r="AG384" s="12"/>
      <c r="AH384" s="12"/>
      <c r="AI384" s="12"/>
      <c r="AJ384" s="18"/>
      <c r="AK384" s="19"/>
      <c r="AL384" s="18"/>
      <c r="AM384" s="19"/>
    </row>
    <row r="385" spans="33:39">
      <c r="AG385" s="12"/>
      <c r="AH385" s="12"/>
      <c r="AI385" s="12"/>
      <c r="AJ385" s="18"/>
      <c r="AK385" s="19"/>
      <c r="AL385" s="18"/>
      <c r="AM385" s="19"/>
    </row>
    <row r="386" spans="33:39">
      <c r="AG386" s="12"/>
      <c r="AH386" s="12"/>
      <c r="AI386" s="12"/>
      <c r="AJ386" s="18"/>
      <c r="AK386" s="19"/>
      <c r="AL386" s="18"/>
      <c r="AM386" s="19"/>
    </row>
    <row r="387" spans="33:39">
      <c r="AG387" s="12"/>
      <c r="AH387" s="12"/>
      <c r="AI387" s="12"/>
      <c r="AJ387" s="18"/>
      <c r="AK387" s="19"/>
      <c r="AL387" s="18"/>
      <c r="AM387" s="19"/>
    </row>
    <row r="388" spans="33:39">
      <c r="AG388" s="12"/>
      <c r="AH388" s="12"/>
      <c r="AI388" s="12"/>
      <c r="AJ388" s="18"/>
      <c r="AK388" s="19"/>
      <c r="AL388" s="18"/>
      <c r="AM388" s="19"/>
    </row>
    <row r="389" spans="33:39">
      <c r="AG389" s="12"/>
      <c r="AH389" s="12"/>
      <c r="AI389" s="12"/>
      <c r="AJ389" s="18"/>
      <c r="AK389" s="19"/>
      <c r="AL389" s="18"/>
      <c r="AM389" s="19"/>
    </row>
    <row r="390" spans="33:39">
      <c r="AG390" s="12"/>
      <c r="AH390" s="12"/>
      <c r="AI390" s="12"/>
      <c r="AJ390" s="18"/>
      <c r="AK390" s="19"/>
      <c r="AL390" s="18"/>
      <c r="AM390" s="19"/>
    </row>
    <row r="391" spans="33:39">
      <c r="AG391" s="12"/>
      <c r="AH391" s="12"/>
      <c r="AI391" s="12"/>
      <c r="AJ391" s="18"/>
      <c r="AK391" s="19"/>
      <c r="AL391" s="18"/>
      <c r="AM391" s="19"/>
    </row>
    <row r="392" spans="33:39">
      <c r="AG392" s="12"/>
      <c r="AH392" s="12"/>
      <c r="AI392" s="12"/>
      <c r="AJ392" s="18"/>
      <c r="AK392" s="19"/>
      <c r="AL392" s="18"/>
      <c r="AM392" s="19"/>
    </row>
    <row r="393" spans="33:39">
      <c r="AG393" s="12"/>
      <c r="AH393" s="12"/>
      <c r="AI393" s="12"/>
      <c r="AJ393" s="18"/>
      <c r="AK393" s="19"/>
      <c r="AL393" s="18"/>
      <c r="AM393" s="19"/>
    </row>
    <row r="394" spans="33:39">
      <c r="AG394" s="12"/>
      <c r="AH394" s="12"/>
      <c r="AI394" s="12"/>
      <c r="AJ394" s="18"/>
      <c r="AK394" s="19"/>
      <c r="AL394" s="18"/>
      <c r="AM394" s="19"/>
    </row>
    <row r="395" spans="33:39">
      <c r="AG395" s="12"/>
      <c r="AH395" s="12"/>
      <c r="AI395" s="12"/>
      <c r="AJ395" s="18"/>
      <c r="AK395" s="19"/>
      <c r="AL395" s="18"/>
      <c r="AM395" s="19"/>
    </row>
    <row r="396" spans="33:39">
      <c r="AG396" s="12"/>
      <c r="AH396" s="12"/>
      <c r="AI396" s="12"/>
      <c r="AJ396" s="18"/>
      <c r="AK396" s="19"/>
      <c r="AL396" s="18"/>
      <c r="AM396" s="19"/>
    </row>
    <row r="397" spans="33:39">
      <c r="AG397" s="12"/>
      <c r="AH397" s="12"/>
      <c r="AI397" s="12"/>
      <c r="AJ397" s="18"/>
      <c r="AK397" s="19"/>
      <c r="AL397" s="18"/>
      <c r="AM397" s="19"/>
    </row>
    <row r="398" spans="33:39">
      <c r="AG398" s="12"/>
      <c r="AH398" s="12"/>
      <c r="AI398" s="12"/>
      <c r="AJ398" s="18"/>
      <c r="AK398" s="19"/>
      <c r="AL398" s="18"/>
      <c r="AM398" s="19"/>
    </row>
    <row r="399" spans="33:39">
      <c r="AG399" s="12"/>
      <c r="AH399" s="12"/>
      <c r="AI399" s="12"/>
      <c r="AJ399" s="18"/>
      <c r="AK399" s="19"/>
      <c r="AL399" s="18"/>
      <c r="AM399" s="19"/>
    </row>
    <row r="400" spans="33:39">
      <c r="AG400" s="12"/>
      <c r="AH400" s="12"/>
      <c r="AI400" s="12"/>
      <c r="AJ400" s="18"/>
      <c r="AK400" s="19"/>
      <c r="AL400" s="18"/>
      <c r="AM400" s="19"/>
    </row>
    <row r="401" spans="33:39">
      <c r="AG401" s="12"/>
      <c r="AH401" s="12"/>
      <c r="AI401" s="12"/>
      <c r="AJ401" s="18"/>
      <c r="AK401" s="19"/>
      <c r="AL401" s="18"/>
      <c r="AM401" s="19"/>
    </row>
    <row r="402" spans="33:39">
      <c r="AG402" s="12"/>
      <c r="AH402" s="12"/>
      <c r="AI402" s="12"/>
      <c r="AJ402" s="18"/>
      <c r="AK402" s="19"/>
      <c r="AL402" s="18"/>
      <c r="AM402" s="19"/>
    </row>
    <row r="403" spans="33:39">
      <c r="AG403" s="12"/>
      <c r="AH403" s="12"/>
      <c r="AI403" s="12"/>
      <c r="AJ403" s="18"/>
      <c r="AK403" s="19"/>
      <c r="AL403" s="18"/>
      <c r="AM403" s="19"/>
    </row>
    <row r="404" spans="33:39">
      <c r="AG404" s="12"/>
      <c r="AH404" s="12"/>
      <c r="AI404" s="12"/>
      <c r="AJ404" s="18"/>
      <c r="AK404" s="19"/>
      <c r="AL404" s="18"/>
      <c r="AM404" s="19"/>
    </row>
    <row r="405" spans="33:39">
      <c r="AG405" s="12"/>
      <c r="AH405" s="12"/>
      <c r="AI405" s="12"/>
      <c r="AJ405" s="18"/>
      <c r="AK405" s="19"/>
      <c r="AL405" s="18"/>
      <c r="AM405" s="19"/>
    </row>
    <row r="406" spans="33:39">
      <c r="AG406" s="12"/>
      <c r="AH406" s="12"/>
      <c r="AI406" s="12"/>
      <c r="AJ406" s="18"/>
      <c r="AK406" s="19"/>
      <c r="AL406" s="18"/>
      <c r="AM406" s="19"/>
    </row>
    <row r="407" spans="33:39">
      <c r="AG407" s="12"/>
      <c r="AH407" s="12"/>
      <c r="AI407" s="12"/>
      <c r="AJ407" s="18"/>
      <c r="AK407" s="19"/>
      <c r="AL407" s="18"/>
      <c r="AM407" s="19"/>
    </row>
    <row r="408" spans="33:39">
      <c r="AG408" s="12"/>
      <c r="AH408" s="12"/>
      <c r="AI408" s="12"/>
      <c r="AJ408" s="18"/>
      <c r="AK408" s="19"/>
      <c r="AL408" s="18"/>
      <c r="AM408" s="19"/>
    </row>
    <row r="409" spans="33:39">
      <c r="AG409" s="12"/>
      <c r="AH409" s="12"/>
      <c r="AI409" s="12"/>
      <c r="AJ409" s="18"/>
      <c r="AK409" s="19"/>
      <c r="AL409" s="18"/>
      <c r="AM409" s="19"/>
    </row>
    <row r="410" spans="33:39">
      <c r="AG410" s="12"/>
      <c r="AH410" s="12"/>
      <c r="AI410" s="12"/>
      <c r="AJ410" s="18"/>
      <c r="AK410" s="19"/>
      <c r="AL410" s="18"/>
      <c r="AM410" s="19"/>
    </row>
    <row r="411" spans="33:39">
      <c r="AG411" s="12"/>
      <c r="AH411" s="12"/>
      <c r="AI411" s="12"/>
      <c r="AJ411" s="18"/>
      <c r="AK411" s="19"/>
      <c r="AL411" s="18"/>
      <c r="AM411" s="19"/>
    </row>
    <row r="412" spans="33:39">
      <c r="AG412" s="12"/>
      <c r="AH412" s="12"/>
      <c r="AI412" s="12"/>
      <c r="AJ412" s="18"/>
      <c r="AK412" s="19"/>
      <c r="AL412" s="18"/>
      <c r="AM412" s="19"/>
    </row>
    <row r="413" spans="33:39">
      <c r="AG413" s="12"/>
      <c r="AH413" s="12"/>
      <c r="AI413" s="12"/>
      <c r="AJ413" s="18"/>
      <c r="AK413" s="19"/>
      <c r="AL413" s="18"/>
      <c r="AM413" s="19"/>
    </row>
    <row r="414" spans="33:39">
      <c r="AG414" s="12"/>
      <c r="AH414" s="12"/>
      <c r="AI414" s="12"/>
      <c r="AJ414" s="18"/>
      <c r="AK414" s="19"/>
      <c r="AL414" s="18"/>
      <c r="AM414" s="19"/>
    </row>
    <row r="415" spans="33:39">
      <c r="AG415" s="12"/>
      <c r="AH415" s="12"/>
      <c r="AI415" s="12"/>
      <c r="AJ415" s="18"/>
      <c r="AK415" s="19"/>
      <c r="AL415" s="18"/>
      <c r="AM415" s="19"/>
    </row>
    <row r="416" spans="33:39">
      <c r="AG416" s="12"/>
      <c r="AH416" s="12"/>
      <c r="AI416" s="12"/>
      <c r="AJ416" s="18"/>
      <c r="AK416" s="19"/>
      <c r="AL416" s="18"/>
      <c r="AM416" s="19"/>
    </row>
    <row r="417" spans="33:39">
      <c r="AG417" s="12"/>
      <c r="AH417" s="12"/>
      <c r="AI417" s="12"/>
      <c r="AJ417" s="18"/>
      <c r="AK417" s="19"/>
      <c r="AL417" s="18"/>
      <c r="AM417" s="19"/>
    </row>
    <row r="418" spans="33:39">
      <c r="AG418" s="12"/>
      <c r="AH418" s="12"/>
      <c r="AI418" s="12"/>
      <c r="AJ418" s="18"/>
      <c r="AK418" s="19"/>
      <c r="AL418" s="18"/>
      <c r="AM418" s="19"/>
    </row>
    <row r="419" spans="33:39">
      <c r="AG419" s="12"/>
      <c r="AH419" s="12"/>
      <c r="AI419" s="12"/>
      <c r="AJ419" s="18"/>
      <c r="AK419" s="19"/>
      <c r="AL419" s="18"/>
      <c r="AM419" s="19"/>
    </row>
    <row r="420" spans="33:39">
      <c r="AG420" s="12"/>
      <c r="AH420" s="12"/>
      <c r="AI420" s="12"/>
      <c r="AJ420" s="18"/>
      <c r="AK420" s="19"/>
      <c r="AL420" s="18"/>
      <c r="AM420" s="19"/>
    </row>
    <row r="421" spans="33:39">
      <c r="AG421" s="12"/>
      <c r="AH421" s="12"/>
      <c r="AI421" s="12"/>
      <c r="AJ421" s="18"/>
      <c r="AK421" s="19"/>
      <c r="AL421" s="18"/>
      <c r="AM421" s="19"/>
    </row>
    <row r="422" spans="33:39">
      <c r="AG422" s="12"/>
      <c r="AH422" s="12"/>
      <c r="AI422" s="12"/>
      <c r="AJ422" s="18"/>
      <c r="AK422" s="19"/>
      <c r="AL422" s="18"/>
      <c r="AM422" s="19"/>
    </row>
    <row r="423" spans="33:39">
      <c r="AG423" s="12"/>
      <c r="AH423" s="12"/>
      <c r="AI423" s="12"/>
      <c r="AJ423" s="18"/>
      <c r="AK423" s="19"/>
      <c r="AL423" s="18"/>
      <c r="AM423" s="19"/>
    </row>
    <row r="424" spans="33:39">
      <c r="AG424" s="12"/>
      <c r="AH424" s="12"/>
      <c r="AI424" s="12"/>
      <c r="AJ424" s="18"/>
      <c r="AK424" s="19"/>
      <c r="AL424" s="18"/>
      <c r="AM424" s="19"/>
    </row>
    <row r="425" spans="33:39">
      <c r="AG425" s="12"/>
      <c r="AH425" s="12"/>
      <c r="AI425" s="12"/>
      <c r="AJ425" s="18"/>
      <c r="AK425" s="19"/>
      <c r="AL425" s="18"/>
      <c r="AM425" s="19"/>
    </row>
    <row r="426" spans="33:39">
      <c r="AG426" s="12"/>
      <c r="AH426" s="12"/>
      <c r="AI426" s="12"/>
      <c r="AJ426" s="18"/>
      <c r="AK426" s="19"/>
      <c r="AL426" s="18"/>
      <c r="AM426" s="19"/>
    </row>
    <row r="427" spans="33:39">
      <c r="AG427" s="12"/>
      <c r="AH427" s="12"/>
      <c r="AI427" s="12"/>
      <c r="AJ427" s="18"/>
      <c r="AK427" s="19"/>
      <c r="AL427" s="18"/>
      <c r="AM427" s="19"/>
    </row>
    <row r="428" spans="33:39">
      <c r="AG428" s="12"/>
      <c r="AH428" s="12"/>
      <c r="AI428" s="12"/>
      <c r="AJ428" s="18"/>
      <c r="AK428" s="19"/>
      <c r="AL428" s="18"/>
      <c r="AM428" s="19"/>
    </row>
    <row r="429" spans="33:39">
      <c r="AG429" s="12"/>
      <c r="AH429" s="12"/>
      <c r="AI429" s="12"/>
      <c r="AJ429" s="18"/>
      <c r="AK429" s="19"/>
      <c r="AL429" s="18"/>
      <c r="AM429" s="19"/>
    </row>
    <row r="430" spans="33:39">
      <c r="AG430" s="12"/>
      <c r="AH430" s="12"/>
      <c r="AI430" s="12"/>
      <c r="AJ430" s="18"/>
      <c r="AK430" s="19"/>
      <c r="AL430" s="18"/>
      <c r="AM430" s="19"/>
    </row>
    <row r="431" spans="33:39">
      <c r="AG431" s="12"/>
      <c r="AH431" s="12"/>
      <c r="AI431" s="12"/>
      <c r="AJ431" s="18"/>
      <c r="AK431" s="19"/>
      <c r="AL431" s="18"/>
      <c r="AM431" s="19"/>
    </row>
    <row r="432" spans="33:39">
      <c r="AG432" s="12"/>
      <c r="AH432" s="12"/>
      <c r="AI432" s="12"/>
      <c r="AJ432" s="18"/>
      <c r="AK432" s="19"/>
      <c r="AL432" s="18"/>
      <c r="AM432" s="19"/>
    </row>
    <row r="433" spans="33:39">
      <c r="AG433" s="12"/>
      <c r="AH433" s="12"/>
      <c r="AI433" s="12"/>
      <c r="AJ433" s="18"/>
      <c r="AK433" s="19"/>
      <c r="AL433" s="18"/>
      <c r="AM433" s="19"/>
    </row>
    <row r="434" spans="33:39">
      <c r="AG434" s="12"/>
      <c r="AH434" s="12"/>
      <c r="AI434" s="12"/>
      <c r="AJ434" s="18"/>
      <c r="AK434" s="19"/>
      <c r="AL434" s="18"/>
      <c r="AM434" s="19"/>
    </row>
    <row r="435" spans="33:39">
      <c r="AG435" s="12"/>
      <c r="AH435" s="12"/>
      <c r="AI435" s="12"/>
      <c r="AJ435" s="18"/>
      <c r="AK435" s="19"/>
      <c r="AL435" s="18"/>
      <c r="AM435" s="19"/>
    </row>
    <row r="436" spans="33:39">
      <c r="AG436" s="12"/>
      <c r="AH436" s="12"/>
      <c r="AI436" s="12"/>
      <c r="AJ436" s="18"/>
      <c r="AK436" s="19"/>
      <c r="AL436" s="18"/>
      <c r="AM436" s="19"/>
    </row>
    <row r="437" spans="33:39">
      <c r="AG437" s="12"/>
      <c r="AH437" s="12"/>
      <c r="AI437" s="12"/>
      <c r="AJ437" s="18"/>
      <c r="AK437" s="19"/>
      <c r="AL437" s="18"/>
      <c r="AM437" s="19"/>
    </row>
    <row r="438" spans="33:39">
      <c r="AG438" s="12"/>
      <c r="AH438" s="12"/>
      <c r="AI438" s="12"/>
      <c r="AJ438" s="18"/>
      <c r="AK438" s="19"/>
      <c r="AL438" s="18"/>
      <c r="AM438" s="19"/>
    </row>
    <row r="439" spans="33:39">
      <c r="AG439" s="12"/>
      <c r="AH439" s="12"/>
      <c r="AI439" s="12"/>
      <c r="AJ439" s="18"/>
      <c r="AK439" s="19"/>
      <c r="AL439" s="18"/>
      <c r="AM439" s="19"/>
    </row>
  </sheetData>
  <sortState xmlns:xlrd2="http://schemas.microsoft.com/office/spreadsheetml/2017/richdata2" ref="A2:K7">
    <sortCondition ref="F2:F7"/>
  </sortState>
  <phoneticPr fontId="5" type="noConversion"/>
  <dataValidations disablePrompts="1" count="1">
    <dataValidation type="list" allowBlank="1" showInputMessage="1" showErrorMessage="1" sqref="L4" xr:uid="{04231A05-6575-4772-A16D-3E8EBE85C72E}">
      <formula1>$AA$1:$AA$2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버튼_선택조건필터_거리반영_거래사례재생성">
                <anchor moveWithCells="1" sizeWithCells="1">
                  <from>
                    <xdr:col>15</xdr:col>
                    <xdr:colOff>19050</xdr:colOff>
                    <xdr:row>24</xdr:row>
                    <xdr:rowOff>28575</xdr:rowOff>
                  </from>
                  <to>
                    <xdr:col>17</xdr:col>
                    <xdr:colOff>866775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" name="cbUseAge">
              <controlPr defaultSize="0" autoFill="0" autoLine="0" autoPict="0">
                <anchor moveWithCells="1">
                  <from>
                    <xdr:col>20</xdr:col>
                    <xdr:colOff>28575</xdr:colOff>
                    <xdr:row>19</xdr:row>
                    <xdr:rowOff>9525</xdr:rowOff>
                  </from>
                  <to>
                    <xdr:col>20</xdr:col>
                    <xdr:colOff>942975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cbUsePyeong">
              <controlPr defaultSize="0" autoFill="0" autoLine="0" autoPict="0">
                <anchor moveWithCells="1">
                  <from>
                    <xdr:col>20</xdr:col>
                    <xdr:colOff>28575</xdr:colOff>
                    <xdr:row>20</xdr:row>
                    <xdr:rowOff>9525</xdr:rowOff>
                  </from>
                  <to>
                    <xdr:col>20</xdr:col>
                    <xdr:colOff>942975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cbUseFloor">
              <controlPr defaultSize="0" autoFill="0" autoLine="0" autoPict="0">
                <anchor moveWithCells="1">
                  <from>
                    <xdr:col>20</xdr:col>
                    <xdr:colOff>28575</xdr:colOff>
                    <xdr:row>21</xdr:row>
                    <xdr:rowOff>9525</xdr:rowOff>
                  </from>
                  <to>
                    <xdr:col>20</xdr:col>
                    <xdr:colOff>942975</xdr:colOff>
                    <xdr:row>21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cbUseRadius">
              <controlPr defaultSize="0" autoFill="0" autoLine="0" autoPict="0">
                <anchor moveWithCells="1">
                  <from>
                    <xdr:col>20</xdr:col>
                    <xdr:colOff>28575</xdr:colOff>
                    <xdr:row>22</xdr:row>
                    <xdr:rowOff>9525</xdr:rowOff>
                  </from>
                  <to>
                    <xdr:col>20</xdr:col>
                    <xdr:colOff>942975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cbUseLocAdjust">
              <controlPr defaultSize="0" autoFill="0" autoLine="0" autoPict="0">
                <anchor moveWithCells="1">
                  <from>
                    <xdr:col>20</xdr:col>
                    <xdr:colOff>28575</xdr:colOff>
                    <xdr:row>23</xdr:row>
                    <xdr:rowOff>9525</xdr:rowOff>
                  </from>
                  <to>
                    <xdr:col>20</xdr:col>
                    <xdr:colOff>942975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046B9-D6B5-4D13-B71D-0D5E18F8F4B3}">
  <sheetPr codeName="Sheet1" filterMode="1"/>
  <dimension ref="A1:BD1291"/>
  <sheetViews>
    <sheetView workbookViewId="0">
      <selection activeCell="L8" sqref="L8"/>
    </sheetView>
  </sheetViews>
  <sheetFormatPr defaultRowHeight="16.5"/>
  <cols>
    <col min="1" max="2" width="13.125" customWidth="1"/>
    <col min="7" max="8" width="9.125" bestFit="1" customWidth="1"/>
    <col min="9" max="9" width="10.5" bestFit="1" customWidth="1"/>
    <col min="10" max="17" width="9.125" bestFit="1" customWidth="1"/>
    <col min="19" max="19" width="11.125" customWidth="1"/>
    <col min="20" max="21" width="0.5" customWidth="1"/>
    <col min="22" max="22" width="50.25" customWidth="1"/>
    <col min="23" max="23" width="41.625" customWidth="1"/>
    <col min="24" max="26" width="9.125" bestFit="1" customWidth="1"/>
    <col min="29" max="29" width="10.5" bestFit="1" customWidth="1"/>
    <col min="30" max="30" width="9.125" bestFit="1" customWidth="1"/>
    <col min="32" max="34" width="9.125" bestFit="1" customWidth="1"/>
    <col min="35" max="35" width="25.625" customWidth="1"/>
    <col min="36" max="38" width="9.125" bestFit="1" customWidth="1"/>
    <col min="39" max="39" width="28.75" customWidth="1"/>
  </cols>
  <sheetData>
    <row r="1" spans="1:56">
      <c r="A1" t="s">
        <v>58</v>
      </c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3</v>
      </c>
      <c r="I1" t="s">
        <v>6</v>
      </c>
      <c r="J1" t="s">
        <v>65</v>
      </c>
      <c r="K1" t="s">
        <v>66</v>
      </c>
      <c r="L1" t="s">
        <v>67</v>
      </c>
      <c r="M1" t="s">
        <v>68</v>
      </c>
      <c r="N1" t="s">
        <v>69</v>
      </c>
      <c r="O1" t="s">
        <v>70</v>
      </c>
      <c r="P1" t="s">
        <v>4</v>
      </c>
      <c r="Q1" t="s">
        <v>71</v>
      </c>
      <c r="R1" t="s">
        <v>72</v>
      </c>
      <c r="S1" t="s">
        <v>73</v>
      </c>
      <c r="T1" t="s">
        <v>74</v>
      </c>
      <c r="U1" t="s">
        <v>75</v>
      </c>
      <c r="V1" t="s">
        <v>76</v>
      </c>
      <c r="W1" t="s">
        <v>77</v>
      </c>
      <c r="X1" t="s">
        <v>78</v>
      </c>
      <c r="Y1" t="s">
        <v>79</v>
      </c>
      <c r="Z1" t="s">
        <v>80</v>
      </c>
      <c r="AA1" t="s">
        <v>81</v>
      </c>
      <c r="AB1" t="s">
        <v>82</v>
      </c>
      <c r="AC1" t="s">
        <v>83</v>
      </c>
      <c r="AD1" t="s">
        <v>84</v>
      </c>
      <c r="AE1" t="s">
        <v>85</v>
      </c>
      <c r="AF1" t="s">
        <v>86</v>
      </c>
      <c r="AG1" t="s">
        <v>87</v>
      </c>
      <c r="AH1" t="s">
        <v>88</v>
      </c>
      <c r="AI1" t="s">
        <v>89</v>
      </c>
      <c r="AJ1" t="s">
        <v>90</v>
      </c>
      <c r="AK1" t="s">
        <v>91</v>
      </c>
      <c r="AL1">
        <v>500</v>
      </c>
      <c r="AM1" t="s">
        <v>92</v>
      </c>
      <c r="BB1" t="s">
        <v>2</v>
      </c>
    </row>
    <row r="2" spans="1:56" hidden="1">
      <c r="A2">
        <v>2609540780</v>
      </c>
      <c r="B2">
        <v>1144012200</v>
      </c>
      <c r="C2" t="s">
        <v>93</v>
      </c>
      <c r="D2" t="s">
        <v>0</v>
      </c>
      <c r="E2" t="s">
        <v>94</v>
      </c>
      <c r="F2" t="s">
        <v>95</v>
      </c>
      <c r="G2" t="s">
        <v>35</v>
      </c>
      <c r="H2">
        <v>5</v>
      </c>
      <c r="I2">
        <v>8900</v>
      </c>
      <c r="J2">
        <v>0</v>
      </c>
      <c r="K2" s="39">
        <v>8900</v>
      </c>
      <c r="L2">
        <v>29</v>
      </c>
      <c r="M2">
        <v>8</v>
      </c>
      <c r="N2">
        <v>1112</v>
      </c>
      <c r="O2">
        <v>22.3</v>
      </c>
      <c r="P2">
        <v>6</v>
      </c>
      <c r="Q2">
        <v>1483</v>
      </c>
      <c r="R2" t="s">
        <v>96</v>
      </c>
      <c r="S2" s="40">
        <v>46073</v>
      </c>
      <c r="T2">
        <v>37.551222000000003</v>
      </c>
      <c r="U2">
        <v>126.906285</v>
      </c>
      <c r="V2" t="s">
        <v>97</v>
      </c>
      <c r="W2" t="s">
        <v>98</v>
      </c>
      <c r="X2">
        <v>1</v>
      </c>
      <c r="Y2">
        <v>0</v>
      </c>
      <c r="Z2">
        <v>0</v>
      </c>
      <c r="AA2" t="s">
        <v>99</v>
      </c>
      <c r="AB2" t="s">
        <v>100</v>
      </c>
      <c r="AC2">
        <v>8900</v>
      </c>
      <c r="AD2">
        <v>0</v>
      </c>
      <c r="AE2" t="s">
        <v>101</v>
      </c>
      <c r="AF2" t="s">
        <v>102</v>
      </c>
      <c r="AG2" t="s">
        <v>103</v>
      </c>
      <c r="AH2">
        <v>681.09421667517813</v>
      </c>
      <c r="AI2" t="s">
        <v>47</v>
      </c>
      <c r="AJ2" t="s">
        <v>104</v>
      </c>
      <c r="AK2">
        <v>1363.3237284316263</v>
      </c>
      <c r="AL2" t="s">
        <v>105</v>
      </c>
      <c r="AM2" s="41" t="s">
        <v>106</v>
      </c>
      <c r="BB2" t="s">
        <v>107</v>
      </c>
      <c r="BC2">
        <v>0.2</v>
      </c>
      <c r="BD2">
        <v>0</v>
      </c>
    </row>
    <row r="3" spans="1:56" hidden="1">
      <c r="A3">
        <v>2607536423</v>
      </c>
      <c r="B3">
        <v>1144012200</v>
      </c>
      <c r="C3" t="s">
        <v>93</v>
      </c>
      <c r="D3" t="s">
        <v>0</v>
      </c>
      <c r="E3" t="s">
        <v>94</v>
      </c>
      <c r="F3" t="s">
        <v>108</v>
      </c>
      <c r="G3" t="s">
        <v>35</v>
      </c>
      <c r="H3">
        <v>5</v>
      </c>
      <c r="I3">
        <v>16000</v>
      </c>
      <c r="J3">
        <v>0</v>
      </c>
      <c r="K3" t="s">
        <v>109</v>
      </c>
      <c r="L3">
        <v>39</v>
      </c>
      <c r="M3">
        <v>11</v>
      </c>
      <c r="N3">
        <v>1454</v>
      </c>
      <c r="O3">
        <v>29.96</v>
      </c>
      <c r="P3">
        <v>9</v>
      </c>
      <c r="Q3">
        <v>1778</v>
      </c>
      <c r="R3" t="s">
        <v>110</v>
      </c>
      <c r="S3" s="40">
        <v>46060</v>
      </c>
      <c r="T3">
        <v>37.546242999999997</v>
      </c>
      <c r="U3">
        <v>126.91523599999999</v>
      </c>
      <c r="V3" t="s">
        <v>111</v>
      </c>
      <c r="W3" t="s">
        <v>112</v>
      </c>
      <c r="X3">
        <v>1</v>
      </c>
      <c r="Y3">
        <v>0</v>
      </c>
      <c r="Z3">
        <v>0</v>
      </c>
      <c r="AA3" t="s">
        <v>113</v>
      </c>
      <c r="AB3" t="s">
        <v>114</v>
      </c>
      <c r="AC3">
        <v>16000</v>
      </c>
      <c r="AD3">
        <v>0</v>
      </c>
      <c r="AE3" t="s">
        <v>101</v>
      </c>
      <c r="AF3" t="s">
        <v>115</v>
      </c>
      <c r="AG3" t="s">
        <v>116</v>
      </c>
      <c r="AH3">
        <v>405.66643025577264</v>
      </c>
      <c r="AI3" t="s">
        <v>47</v>
      </c>
      <c r="AJ3" t="s">
        <v>104</v>
      </c>
      <c r="AK3">
        <v>590.27691980927682</v>
      </c>
      <c r="AL3" t="s">
        <v>105</v>
      </c>
      <c r="AM3" s="41" t="s">
        <v>117</v>
      </c>
      <c r="BB3" t="s">
        <v>118</v>
      </c>
      <c r="BC3">
        <v>0.6</v>
      </c>
      <c r="BD3">
        <v>0</v>
      </c>
    </row>
    <row r="4" spans="1:56" hidden="1">
      <c r="A4">
        <v>2608528865</v>
      </c>
      <c r="B4">
        <v>1144012200</v>
      </c>
      <c r="C4" t="s">
        <v>93</v>
      </c>
      <c r="D4" t="s">
        <v>0</v>
      </c>
      <c r="E4" t="s">
        <v>94</v>
      </c>
      <c r="F4" t="s">
        <v>119</v>
      </c>
      <c r="G4" t="s">
        <v>35</v>
      </c>
      <c r="H4">
        <v>4</v>
      </c>
      <c r="I4">
        <v>22000</v>
      </c>
      <c r="J4">
        <v>0</v>
      </c>
      <c r="K4" t="s">
        <v>120</v>
      </c>
      <c r="L4">
        <v>47</v>
      </c>
      <c r="M4">
        <v>14</v>
      </c>
      <c r="N4">
        <v>1571</v>
      </c>
      <c r="O4">
        <v>40.78</v>
      </c>
      <c r="P4">
        <v>12</v>
      </c>
      <c r="Q4">
        <v>1833</v>
      </c>
      <c r="R4" t="s">
        <v>121</v>
      </c>
      <c r="S4" s="40">
        <v>46065</v>
      </c>
      <c r="T4">
        <v>37.553049999999999</v>
      </c>
      <c r="U4">
        <v>126.91033299999999</v>
      </c>
      <c r="V4" t="s">
        <v>122</v>
      </c>
      <c r="W4" t="s">
        <v>123</v>
      </c>
      <c r="X4">
        <v>1</v>
      </c>
      <c r="Y4">
        <v>0</v>
      </c>
      <c r="Z4">
        <v>0</v>
      </c>
      <c r="AA4" t="s">
        <v>124</v>
      </c>
      <c r="AB4" t="s">
        <v>125</v>
      </c>
      <c r="AC4">
        <v>22000</v>
      </c>
      <c r="AD4">
        <v>0</v>
      </c>
      <c r="AE4" t="s">
        <v>101</v>
      </c>
      <c r="AF4" t="s">
        <v>102</v>
      </c>
      <c r="AG4" t="s">
        <v>103</v>
      </c>
      <c r="AH4">
        <v>336.42166037402296</v>
      </c>
      <c r="AI4" t="s">
        <v>47</v>
      </c>
      <c r="AJ4" t="s">
        <v>104</v>
      </c>
      <c r="AK4">
        <v>955.78809481356325</v>
      </c>
      <c r="AL4" t="s">
        <v>105</v>
      </c>
      <c r="AM4" s="41" t="s">
        <v>126</v>
      </c>
      <c r="BB4" t="s">
        <v>127</v>
      </c>
      <c r="BC4">
        <v>1</v>
      </c>
      <c r="BD4">
        <v>0</v>
      </c>
    </row>
    <row r="5" spans="1:56" hidden="1">
      <c r="A5">
        <v>2608807765</v>
      </c>
      <c r="B5">
        <v>1144012200</v>
      </c>
      <c r="C5" t="s">
        <v>93</v>
      </c>
      <c r="D5" t="s">
        <v>0</v>
      </c>
      <c r="E5" t="s">
        <v>94</v>
      </c>
      <c r="F5" t="s">
        <v>128</v>
      </c>
      <c r="G5" t="s">
        <v>35</v>
      </c>
      <c r="H5">
        <v>20</v>
      </c>
      <c r="I5">
        <v>15500</v>
      </c>
      <c r="J5">
        <v>0</v>
      </c>
      <c r="K5" t="s">
        <v>129</v>
      </c>
      <c r="L5">
        <v>42</v>
      </c>
      <c r="M5">
        <v>12</v>
      </c>
      <c r="N5">
        <v>1291</v>
      </c>
      <c r="O5">
        <v>28.72</v>
      </c>
      <c r="P5">
        <v>8</v>
      </c>
      <c r="Q5">
        <v>1938</v>
      </c>
      <c r="R5" t="s">
        <v>121</v>
      </c>
      <c r="S5" s="40">
        <v>46072</v>
      </c>
      <c r="T5">
        <v>37.548791999999999</v>
      </c>
      <c r="U5">
        <v>126.910509</v>
      </c>
      <c r="V5" t="s">
        <v>130</v>
      </c>
      <c r="W5" t="s">
        <v>131</v>
      </c>
      <c r="X5">
        <v>1</v>
      </c>
      <c r="Y5">
        <v>0</v>
      </c>
      <c r="Z5">
        <v>0</v>
      </c>
      <c r="AA5" t="s">
        <v>99</v>
      </c>
      <c r="AB5" t="s">
        <v>132</v>
      </c>
      <c r="AC5">
        <v>15500</v>
      </c>
      <c r="AD5">
        <v>0</v>
      </c>
      <c r="AE5" t="s">
        <v>101</v>
      </c>
      <c r="AF5" t="s">
        <v>115</v>
      </c>
      <c r="AG5" t="s">
        <v>116</v>
      </c>
      <c r="AH5">
        <v>303.04210726050604</v>
      </c>
      <c r="AI5" t="s">
        <v>47</v>
      </c>
      <c r="AJ5" t="s">
        <v>104</v>
      </c>
      <c r="AK5">
        <v>908.37408156018273</v>
      </c>
      <c r="AL5" t="s">
        <v>105</v>
      </c>
      <c r="AM5" s="41" t="s">
        <v>133</v>
      </c>
      <c r="BB5" t="s">
        <v>35</v>
      </c>
      <c r="BD5">
        <v>0</v>
      </c>
    </row>
    <row r="6" spans="1:56" hidden="1">
      <c r="A6">
        <v>2609254133</v>
      </c>
      <c r="B6">
        <v>1144012200</v>
      </c>
      <c r="C6" t="s">
        <v>134</v>
      </c>
      <c r="D6" t="s">
        <v>0</v>
      </c>
      <c r="E6" t="s">
        <v>94</v>
      </c>
      <c r="F6" t="s">
        <v>135</v>
      </c>
      <c r="G6" t="s">
        <v>35</v>
      </c>
      <c r="H6">
        <v>20</v>
      </c>
      <c r="I6">
        <v>15500</v>
      </c>
      <c r="J6">
        <v>0</v>
      </c>
      <c r="K6" t="s">
        <v>129</v>
      </c>
      <c r="L6">
        <v>42</v>
      </c>
      <c r="M6">
        <v>12</v>
      </c>
      <c r="N6">
        <v>1291</v>
      </c>
      <c r="O6">
        <v>28.72</v>
      </c>
      <c r="P6">
        <v>8</v>
      </c>
      <c r="Q6">
        <v>1938</v>
      </c>
      <c r="R6" t="s">
        <v>136</v>
      </c>
      <c r="S6" s="40">
        <v>46072</v>
      </c>
      <c r="T6">
        <v>37.548791999999999</v>
      </c>
      <c r="U6">
        <v>126.910509</v>
      </c>
      <c r="V6" t="s">
        <v>137</v>
      </c>
      <c r="W6" t="s">
        <v>138</v>
      </c>
      <c r="X6">
        <v>1</v>
      </c>
      <c r="Y6">
        <v>0</v>
      </c>
      <c r="Z6">
        <v>0</v>
      </c>
      <c r="AA6" t="s">
        <v>139</v>
      </c>
      <c r="AB6" t="s">
        <v>140</v>
      </c>
      <c r="AC6">
        <v>15500</v>
      </c>
      <c r="AD6">
        <v>0</v>
      </c>
      <c r="AE6" t="s">
        <v>101</v>
      </c>
      <c r="AF6" t="s">
        <v>115</v>
      </c>
      <c r="AG6" t="s">
        <v>116</v>
      </c>
      <c r="AH6">
        <v>303.04210726050604</v>
      </c>
      <c r="AI6" t="s">
        <v>47</v>
      </c>
      <c r="AJ6" t="s">
        <v>104</v>
      </c>
      <c r="AK6">
        <v>908.37408156018273</v>
      </c>
      <c r="AL6" t="s">
        <v>105</v>
      </c>
      <c r="AM6" s="41" t="s">
        <v>133</v>
      </c>
    </row>
    <row r="7" spans="1:56" hidden="1">
      <c r="A7">
        <v>2612029724</v>
      </c>
      <c r="B7">
        <v>1144012200</v>
      </c>
      <c r="C7" t="s">
        <v>93</v>
      </c>
      <c r="D7" t="s">
        <v>0</v>
      </c>
      <c r="E7" t="s">
        <v>94</v>
      </c>
      <c r="F7" t="s">
        <v>135</v>
      </c>
      <c r="G7">
        <v>2</v>
      </c>
      <c r="H7">
        <v>5</v>
      </c>
      <c r="I7">
        <v>18500</v>
      </c>
      <c r="J7">
        <v>0</v>
      </c>
      <c r="K7" t="s">
        <v>141</v>
      </c>
      <c r="L7">
        <v>37</v>
      </c>
      <c r="M7">
        <v>11</v>
      </c>
      <c r="N7">
        <v>1681</v>
      </c>
      <c r="O7">
        <v>28.52</v>
      </c>
      <c r="P7">
        <v>8</v>
      </c>
      <c r="Q7">
        <v>2312</v>
      </c>
      <c r="R7" t="s">
        <v>96</v>
      </c>
      <c r="S7" s="40">
        <v>46085</v>
      </c>
      <c r="T7">
        <v>37.551222000000003</v>
      </c>
      <c r="U7">
        <v>126.906284</v>
      </c>
      <c r="V7" t="s">
        <v>142</v>
      </c>
      <c r="W7" t="s">
        <v>143</v>
      </c>
      <c r="X7">
        <v>1</v>
      </c>
      <c r="Y7">
        <v>0</v>
      </c>
      <c r="Z7">
        <v>0</v>
      </c>
      <c r="AA7" t="s">
        <v>99</v>
      </c>
      <c r="AB7" t="s">
        <v>100</v>
      </c>
      <c r="AC7">
        <v>18500</v>
      </c>
      <c r="AD7">
        <v>0</v>
      </c>
      <c r="AE7" t="s">
        <v>101</v>
      </c>
      <c r="AF7" t="s">
        <v>102</v>
      </c>
      <c r="AG7" t="s">
        <v>103</v>
      </c>
      <c r="AH7">
        <v>681.16243141056088</v>
      </c>
      <c r="AI7" t="s">
        <v>47</v>
      </c>
      <c r="AJ7" t="s">
        <v>104</v>
      </c>
      <c r="AK7">
        <v>1363.434807568201</v>
      </c>
      <c r="AL7" t="s">
        <v>105</v>
      </c>
      <c r="AM7" s="41" t="s">
        <v>106</v>
      </c>
      <c r="BB7" t="s">
        <v>0</v>
      </c>
    </row>
    <row r="8" spans="1:56">
      <c r="A8">
        <v>2608098642</v>
      </c>
      <c r="B8">
        <v>1141011600</v>
      </c>
      <c r="C8" t="s">
        <v>93</v>
      </c>
      <c r="D8" t="s">
        <v>0</v>
      </c>
      <c r="E8" t="s">
        <v>94</v>
      </c>
      <c r="F8" t="s">
        <v>119</v>
      </c>
      <c r="G8" t="s">
        <v>35</v>
      </c>
      <c r="H8">
        <v>5</v>
      </c>
      <c r="I8">
        <v>35000</v>
      </c>
      <c r="J8">
        <v>0</v>
      </c>
      <c r="K8" t="s">
        <v>420</v>
      </c>
      <c r="L8">
        <v>159</v>
      </c>
      <c r="M8">
        <v>48</v>
      </c>
      <c r="N8">
        <v>729</v>
      </c>
      <c r="O8">
        <v>159</v>
      </c>
      <c r="P8">
        <v>48</v>
      </c>
      <c r="Q8">
        <v>729</v>
      </c>
      <c r="R8" t="s">
        <v>161</v>
      </c>
      <c r="S8" s="40">
        <v>46063</v>
      </c>
      <c r="T8">
        <v>37.559815</v>
      </c>
      <c r="U8">
        <v>126.929175</v>
      </c>
      <c r="V8" t="s">
        <v>421</v>
      </c>
      <c r="W8" t="s">
        <v>200</v>
      </c>
      <c r="X8">
        <v>1</v>
      </c>
      <c r="Y8">
        <v>0</v>
      </c>
      <c r="Z8">
        <v>0</v>
      </c>
      <c r="AA8" t="s">
        <v>124</v>
      </c>
      <c r="AB8" t="s">
        <v>422</v>
      </c>
      <c r="AC8">
        <v>35000</v>
      </c>
      <c r="AD8">
        <v>0</v>
      </c>
      <c r="AE8" t="s">
        <v>101</v>
      </c>
      <c r="AF8" t="s">
        <v>165</v>
      </c>
      <c r="AG8" t="s">
        <v>166</v>
      </c>
      <c r="AH8">
        <v>480.29491933134483</v>
      </c>
      <c r="AI8" t="s">
        <v>47</v>
      </c>
      <c r="AJ8" t="s">
        <v>104</v>
      </c>
      <c r="AK8">
        <v>981.73124538114462</v>
      </c>
      <c r="AL8" t="s">
        <v>105</v>
      </c>
      <c r="AM8" s="41" t="s">
        <v>423</v>
      </c>
      <c r="AN8">
        <f t="shared" ref="AN8:AN9" si="0">IFERROR(VALUE(LEFT($W8,FIND("년",$W8)-1)),"")</f>
        <v>25</v>
      </c>
      <c r="AO8" t="str">
        <f t="shared" ref="AO8:AO9" si="1">IFERROR(IF(FIND("년",$W8)=3,MID($W8,FIND("년",$W8)+1,FIND("년",$W8)-1),MID($W8,FIND("년",$W8)+1,FIND("년",$W8))),"")</f>
        <v>이내</v>
      </c>
      <c r="AP8">
        <f t="shared" ref="AP8:AP9" si="2">IFERROR(IF($AN8&lt;11,10,IF(AND($AN8&lt;26,$AO8="이내"),25,26)),"")</f>
        <v>25</v>
      </c>
      <c r="AQ8">
        <f t="shared" ref="AQ8:AQ9" si="3">IFERROR(IF($P8&lt;10,9,IF($P8&lt;20,10,IF($P8&lt;30,20,IF($P8&lt;40,30,40)))),"")</f>
        <v>40</v>
      </c>
      <c r="AR8" t="str">
        <f t="shared" ref="AR8:AR9" si="4">IFERROR(IF($D8="상가",IF($G8="1","1층",IF($G8="전체층","전체층",IF(LEFT($G8,1)="B","B1",IF($G8&lt;6,"저",IF($G8/$H8&lt;=$BC$9,"저",IF($G8/$H8&lt;=$BC$10,"중","고")))))),IF(LEFT($G8,1)="B","B1",IF($H8&lt;6,"저",IF($G8/$H8&lt;=$BC$2,"저",IF($G8/$H8&lt;=$BC$3,"중","고"))))),"")</f>
        <v>B1</v>
      </c>
      <c r="AS8">
        <f>IFERROR(ACOS(SIN(RADIANS(거래사례!$S$11))*SIN(RADIANS($T8))+COS(RADIANS(거래사례!$S$11))*COS(RADIANS($T8))*COS(RADIANS($U8-거래사례!$P$11)))*6371000,"")</f>
        <v>1.7035530151443545</v>
      </c>
      <c r="BB8" t="s">
        <v>45</v>
      </c>
      <c r="BD8">
        <v>0</v>
      </c>
    </row>
    <row r="9" spans="1:56">
      <c r="A9">
        <v>2608098642</v>
      </c>
      <c r="B9">
        <v>1141011600</v>
      </c>
      <c r="C9" t="s">
        <v>93</v>
      </c>
      <c r="D9" t="s">
        <v>0</v>
      </c>
      <c r="E9" t="s">
        <v>94</v>
      </c>
      <c r="F9" t="s">
        <v>119</v>
      </c>
      <c r="G9" t="s">
        <v>35</v>
      </c>
      <c r="H9">
        <v>5</v>
      </c>
      <c r="I9">
        <v>35000</v>
      </c>
      <c r="J9">
        <v>0</v>
      </c>
      <c r="K9" t="s">
        <v>420</v>
      </c>
      <c r="L9">
        <v>159</v>
      </c>
      <c r="M9">
        <v>48</v>
      </c>
      <c r="N9">
        <v>729</v>
      </c>
      <c r="O9">
        <v>159</v>
      </c>
      <c r="P9">
        <v>48</v>
      </c>
      <c r="Q9">
        <v>729</v>
      </c>
      <c r="R9" t="s">
        <v>161</v>
      </c>
      <c r="S9" s="40">
        <v>46063</v>
      </c>
      <c r="T9">
        <v>37.559815</v>
      </c>
      <c r="U9">
        <v>126.929175</v>
      </c>
      <c r="V9" t="s">
        <v>421</v>
      </c>
      <c r="W9" t="s">
        <v>200</v>
      </c>
      <c r="X9">
        <v>1</v>
      </c>
      <c r="Y9">
        <v>0</v>
      </c>
      <c r="Z9">
        <v>0</v>
      </c>
      <c r="AA9" t="s">
        <v>124</v>
      </c>
      <c r="AB9" t="s">
        <v>422</v>
      </c>
      <c r="AC9">
        <v>35000</v>
      </c>
      <c r="AD9">
        <v>0</v>
      </c>
      <c r="AE9" t="s">
        <v>101</v>
      </c>
      <c r="AF9" t="s">
        <v>165</v>
      </c>
      <c r="AG9" t="s">
        <v>166</v>
      </c>
      <c r="AH9">
        <v>480.29491933134483</v>
      </c>
      <c r="AI9" t="s">
        <v>47</v>
      </c>
      <c r="AJ9" t="s">
        <v>104</v>
      </c>
      <c r="AK9">
        <v>981.73124538114462</v>
      </c>
      <c r="AL9" t="s">
        <v>105</v>
      </c>
      <c r="AM9" s="41" t="s">
        <v>423</v>
      </c>
      <c r="AN9">
        <f t="shared" si="0"/>
        <v>25</v>
      </c>
      <c r="AO9" t="str">
        <f t="shared" si="1"/>
        <v>이내</v>
      </c>
      <c r="AP9">
        <f t="shared" si="2"/>
        <v>25</v>
      </c>
      <c r="AQ9">
        <f t="shared" si="3"/>
        <v>40</v>
      </c>
      <c r="AR9" t="str">
        <f t="shared" si="4"/>
        <v>B1</v>
      </c>
      <c r="AS9">
        <f>IFERROR(ACOS(SIN(RADIANS(거래사례!$S$11))*SIN(RADIANS($T9))+COS(RADIANS(거래사례!$S$11))*COS(RADIANS($T9))*COS(RADIANS($U9-거래사례!$P$11)))*6371000,"")</f>
        <v>1.7035530151443545</v>
      </c>
      <c r="BB9" t="s">
        <v>107</v>
      </c>
      <c r="BC9">
        <v>0.4</v>
      </c>
      <c r="BD9">
        <v>0</v>
      </c>
    </row>
    <row r="10" spans="1:56" hidden="1">
      <c r="A10">
        <v>2607359635</v>
      </c>
      <c r="B10">
        <v>1156012900</v>
      </c>
      <c r="C10" t="s">
        <v>134</v>
      </c>
      <c r="D10" t="s">
        <v>0</v>
      </c>
      <c r="E10" t="s">
        <v>94</v>
      </c>
      <c r="F10" t="s">
        <v>95</v>
      </c>
      <c r="G10">
        <v>1</v>
      </c>
      <c r="H10">
        <v>19</v>
      </c>
      <c r="I10">
        <v>27000</v>
      </c>
      <c r="J10">
        <v>0</v>
      </c>
      <c r="K10" t="s">
        <v>153</v>
      </c>
      <c r="L10">
        <v>47025</v>
      </c>
      <c r="M10">
        <v>14225</v>
      </c>
      <c r="N10">
        <v>1</v>
      </c>
      <c r="O10">
        <v>36.4</v>
      </c>
      <c r="P10">
        <v>11</v>
      </c>
      <c r="Q10">
        <v>2455</v>
      </c>
      <c r="R10" t="s">
        <v>154</v>
      </c>
      <c r="S10" s="40">
        <v>46059</v>
      </c>
      <c r="T10">
        <v>37.540125000000003</v>
      </c>
      <c r="U10">
        <v>126.892109</v>
      </c>
      <c r="V10" t="s">
        <v>155</v>
      </c>
      <c r="W10" t="s">
        <v>156</v>
      </c>
      <c r="X10">
        <v>1</v>
      </c>
      <c r="Y10">
        <v>0</v>
      </c>
      <c r="Z10">
        <v>0</v>
      </c>
      <c r="AA10" t="s">
        <v>99</v>
      </c>
      <c r="AB10" t="s">
        <v>157</v>
      </c>
      <c r="AC10">
        <v>27000</v>
      </c>
      <c r="AD10">
        <v>0</v>
      </c>
      <c r="AE10" t="s">
        <v>101</v>
      </c>
      <c r="AF10" t="s">
        <v>158</v>
      </c>
      <c r="AG10" t="s">
        <v>159</v>
      </c>
      <c r="AH10">
        <v>307.01938948042164</v>
      </c>
      <c r="AI10" t="s">
        <v>49</v>
      </c>
      <c r="AJ10" t="s">
        <v>104</v>
      </c>
      <c r="AK10">
        <v>399.53222524398132</v>
      </c>
      <c r="AL10">
        <v>1</v>
      </c>
      <c r="AM10" s="41" t="s">
        <v>160</v>
      </c>
      <c r="BB10" t="s">
        <v>118</v>
      </c>
      <c r="BC10">
        <v>0.7</v>
      </c>
      <c r="BD10">
        <v>0</v>
      </c>
    </row>
    <row r="11" spans="1:56" hidden="1">
      <c r="A11">
        <v>2609438757</v>
      </c>
      <c r="B11">
        <v>1144012000</v>
      </c>
      <c r="C11" t="s">
        <v>134</v>
      </c>
      <c r="D11" t="s">
        <v>0</v>
      </c>
      <c r="E11" t="s">
        <v>94</v>
      </c>
      <c r="F11" t="s">
        <v>95</v>
      </c>
      <c r="G11">
        <v>1</v>
      </c>
      <c r="H11">
        <v>19</v>
      </c>
      <c r="I11">
        <v>16000</v>
      </c>
      <c r="J11">
        <v>0</v>
      </c>
      <c r="K11" t="s">
        <v>109</v>
      </c>
      <c r="L11">
        <v>21</v>
      </c>
      <c r="M11">
        <v>6</v>
      </c>
      <c r="N11">
        <v>2666</v>
      </c>
      <c r="O11">
        <v>21.74</v>
      </c>
      <c r="P11">
        <v>6</v>
      </c>
      <c r="Q11">
        <v>2667</v>
      </c>
      <c r="R11" t="s">
        <v>161</v>
      </c>
      <c r="S11" s="40">
        <v>46073</v>
      </c>
      <c r="T11">
        <v>37.553798999999998</v>
      </c>
      <c r="U11">
        <v>126.92370099999999</v>
      </c>
      <c r="V11" t="s">
        <v>162</v>
      </c>
      <c r="W11" t="s">
        <v>163</v>
      </c>
      <c r="X11">
        <v>1</v>
      </c>
      <c r="Y11">
        <v>0</v>
      </c>
      <c r="Z11">
        <v>0</v>
      </c>
      <c r="AA11" t="s">
        <v>139</v>
      </c>
      <c r="AB11" t="s">
        <v>164</v>
      </c>
      <c r="AC11">
        <v>16000</v>
      </c>
      <c r="AD11">
        <v>0</v>
      </c>
      <c r="AE11" t="s">
        <v>101</v>
      </c>
      <c r="AF11" t="s">
        <v>165</v>
      </c>
      <c r="AG11" t="s">
        <v>166</v>
      </c>
      <c r="AH11">
        <v>344.14694489895248</v>
      </c>
      <c r="AI11" t="s">
        <v>47</v>
      </c>
      <c r="AJ11" t="s">
        <v>104</v>
      </c>
      <c r="AK11">
        <v>690.06417067304881</v>
      </c>
      <c r="AL11" t="s">
        <v>105</v>
      </c>
      <c r="AM11" s="41" t="s">
        <v>167</v>
      </c>
      <c r="BB11" t="s">
        <v>127</v>
      </c>
      <c r="BC11">
        <v>1</v>
      </c>
      <c r="BD11">
        <v>0</v>
      </c>
    </row>
    <row r="12" spans="1:56" hidden="1">
      <c r="A12">
        <v>2608646937</v>
      </c>
      <c r="B12">
        <v>1144012300</v>
      </c>
      <c r="C12" t="s">
        <v>93</v>
      </c>
      <c r="D12" t="s">
        <v>0</v>
      </c>
      <c r="E12" t="s">
        <v>94</v>
      </c>
      <c r="F12" t="s">
        <v>135</v>
      </c>
      <c r="G12">
        <v>2</v>
      </c>
      <c r="H12">
        <v>5</v>
      </c>
      <c r="I12">
        <v>50000</v>
      </c>
      <c r="J12">
        <v>0</v>
      </c>
      <c r="K12" t="s">
        <v>168</v>
      </c>
      <c r="L12">
        <v>61</v>
      </c>
      <c r="M12">
        <v>18</v>
      </c>
      <c r="N12">
        <v>2777</v>
      </c>
      <c r="O12">
        <v>61.48</v>
      </c>
      <c r="P12">
        <v>18</v>
      </c>
      <c r="Q12">
        <v>2778</v>
      </c>
      <c r="R12" t="s">
        <v>136</v>
      </c>
      <c r="S12" s="40">
        <v>46066</v>
      </c>
      <c r="T12">
        <v>37.553311999999998</v>
      </c>
      <c r="U12">
        <v>126.90822</v>
      </c>
      <c r="V12" t="s">
        <v>169</v>
      </c>
      <c r="W12" t="s">
        <v>170</v>
      </c>
      <c r="X12">
        <v>1</v>
      </c>
      <c r="Y12">
        <v>0</v>
      </c>
      <c r="Z12">
        <v>0</v>
      </c>
      <c r="AA12" t="s">
        <v>148</v>
      </c>
      <c r="AB12" t="s">
        <v>171</v>
      </c>
      <c r="AC12">
        <v>50000</v>
      </c>
      <c r="AD12">
        <v>0</v>
      </c>
      <c r="AE12" t="s">
        <v>101</v>
      </c>
      <c r="AF12" t="s">
        <v>102</v>
      </c>
      <c r="AG12" t="s">
        <v>103</v>
      </c>
      <c r="AH12">
        <v>366.28942827341308</v>
      </c>
      <c r="AI12" t="s">
        <v>47</v>
      </c>
      <c r="AJ12" t="s">
        <v>104</v>
      </c>
      <c r="AK12">
        <v>1189.4476135252769</v>
      </c>
      <c r="AL12" t="s">
        <v>105</v>
      </c>
      <c r="AM12" s="41" t="s">
        <v>172</v>
      </c>
      <c r="BB12" t="s">
        <v>35</v>
      </c>
      <c r="BD12">
        <v>0</v>
      </c>
    </row>
    <row r="13" spans="1:56" hidden="1">
      <c r="A13">
        <v>2610589753</v>
      </c>
      <c r="B13">
        <v>1144012000</v>
      </c>
      <c r="C13" t="s">
        <v>134</v>
      </c>
      <c r="D13" t="s">
        <v>0</v>
      </c>
      <c r="E13" t="s">
        <v>94</v>
      </c>
      <c r="F13" t="s">
        <v>135</v>
      </c>
      <c r="G13" t="s">
        <v>35</v>
      </c>
      <c r="H13">
        <v>35</v>
      </c>
      <c r="I13">
        <v>42000</v>
      </c>
      <c r="J13">
        <v>0</v>
      </c>
      <c r="K13" t="s">
        <v>173</v>
      </c>
      <c r="L13">
        <v>110</v>
      </c>
      <c r="M13">
        <v>33</v>
      </c>
      <c r="N13">
        <v>1272</v>
      </c>
      <c r="O13">
        <v>49.9</v>
      </c>
      <c r="P13">
        <v>15</v>
      </c>
      <c r="Q13">
        <v>2800</v>
      </c>
      <c r="S13" s="40">
        <v>46078</v>
      </c>
      <c r="T13">
        <v>37.550941000000002</v>
      </c>
      <c r="U13">
        <v>126.913787</v>
      </c>
      <c r="V13" t="s">
        <v>174</v>
      </c>
      <c r="W13" t="s">
        <v>175</v>
      </c>
      <c r="X13">
        <v>1</v>
      </c>
      <c r="Y13">
        <v>0</v>
      </c>
      <c r="Z13">
        <v>0</v>
      </c>
      <c r="AA13" t="s">
        <v>176</v>
      </c>
      <c r="AB13" t="s">
        <v>177</v>
      </c>
      <c r="AC13">
        <v>42000</v>
      </c>
      <c r="AD13">
        <v>0</v>
      </c>
      <c r="AE13" t="s">
        <v>101</v>
      </c>
      <c r="AF13" t="s">
        <v>115</v>
      </c>
      <c r="AG13" t="s">
        <v>116</v>
      </c>
      <c r="AH13">
        <v>132.01770664783839</v>
      </c>
      <c r="AI13" t="s">
        <v>47</v>
      </c>
      <c r="AJ13" t="s">
        <v>104</v>
      </c>
      <c r="AK13">
        <v>528.48255152744889</v>
      </c>
      <c r="AL13">
        <v>1</v>
      </c>
      <c r="AM13" s="41" t="s">
        <v>178</v>
      </c>
      <c r="BB13" t="s">
        <v>44</v>
      </c>
      <c r="BD13">
        <v>0</v>
      </c>
    </row>
    <row r="14" spans="1:56" hidden="1">
      <c r="A14">
        <v>2609288825</v>
      </c>
      <c r="B14">
        <v>1144012000</v>
      </c>
      <c r="C14" t="s">
        <v>134</v>
      </c>
      <c r="D14" t="s">
        <v>0</v>
      </c>
      <c r="E14" t="s">
        <v>94</v>
      </c>
      <c r="F14" t="s">
        <v>95</v>
      </c>
      <c r="G14" t="s">
        <v>35</v>
      </c>
      <c r="H14">
        <v>18</v>
      </c>
      <c r="I14">
        <v>34000</v>
      </c>
      <c r="J14">
        <v>0</v>
      </c>
      <c r="K14" t="s">
        <v>179</v>
      </c>
      <c r="L14">
        <v>41</v>
      </c>
      <c r="M14">
        <v>12</v>
      </c>
      <c r="N14">
        <v>2833</v>
      </c>
      <c r="O14">
        <v>41.84</v>
      </c>
      <c r="P14">
        <v>12</v>
      </c>
      <c r="Q14">
        <v>2833</v>
      </c>
      <c r="R14" t="s">
        <v>161</v>
      </c>
      <c r="S14" s="40">
        <v>46072</v>
      </c>
      <c r="T14">
        <v>37.553798999999998</v>
      </c>
      <c r="U14">
        <v>126.92370099999999</v>
      </c>
      <c r="V14" t="s">
        <v>180</v>
      </c>
      <c r="W14" t="s">
        <v>181</v>
      </c>
      <c r="X14">
        <v>1</v>
      </c>
      <c r="Y14">
        <v>0</v>
      </c>
      <c r="Z14">
        <v>0</v>
      </c>
      <c r="AA14" t="s">
        <v>139</v>
      </c>
      <c r="AB14" t="s">
        <v>182</v>
      </c>
      <c r="AC14">
        <v>34000</v>
      </c>
      <c r="AD14">
        <v>0</v>
      </c>
      <c r="AE14" t="s">
        <v>101</v>
      </c>
      <c r="AF14" t="s">
        <v>165</v>
      </c>
      <c r="AG14" t="s">
        <v>166</v>
      </c>
      <c r="AH14">
        <v>344.14694489895248</v>
      </c>
      <c r="AI14" t="s">
        <v>47</v>
      </c>
      <c r="AJ14" t="s">
        <v>104</v>
      </c>
      <c r="AK14">
        <v>690.06417067304881</v>
      </c>
      <c r="AL14" t="s">
        <v>105</v>
      </c>
      <c r="AM14" s="41" t="s">
        <v>167</v>
      </c>
    </row>
    <row r="15" spans="1:56" hidden="1">
      <c r="A15">
        <v>2606896804</v>
      </c>
      <c r="B15">
        <v>1144012000</v>
      </c>
      <c r="C15" t="s">
        <v>134</v>
      </c>
      <c r="D15" t="s">
        <v>0</v>
      </c>
      <c r="E15" t="s">
        <v>94</v>
      </c>
      <c r="F15" t="s">
        <v>95</v>
      </c>
      <c r="G15">
        <v>1</v>
      </c>
      <c r="H15">
        <v>19</v>
      </c>
      <c r="I15">
        <v>30000</v>
      </c>
      <c r="J15">
        <v>0</v>
      </c>
      <c r="K15" t="s">
        <v>183</v>
      </c>
      <c r="L15">
        <v>34</v>
      </c>
      <c r="M15">
        <v>10</v>
      </c>
      <c r="N15">
        <v>3000</v>
      </c>
      <c r="O15">
        <v>34.340000000000003</v>
      </c>
      <c r="P15">
        <v>10</v>
      </c>
      <c r="Q15">
        <v>3000</v>
      </c>
      <c r="R15" t="s">
        <v>161</v>
      </c>
      <c r="S15" s="40">
        <v>46057</v>
      </c>
      <c r="T15">
        <v>37.553798999999998</v>
      </c>
      <c r="U15">
        <v>126.92370099999999</v>
      </c>
      <c r="V15" t="s">
        <v>184</v>
      </c>
      <c r="W15" t="s">
        <v>185</v>
      </c>
      <c r="X15">
        <v>1</v>
      </c>
      <c r="Y15">
        <v>0</v>
      </c>
      <c r="Z15">
        <v>0</v>
      </c>
      <c r="AA15" t="s">
        <v>139</v>
      </c>
      <c r="AB15" t="s">
        <v>186</v>
      </c>
      <c r="AC15">
        <v>30000</v>
      </c>
      <c r="AD15">
        <v>0</v>
      </c>
      <c r="AE15" t="s">
        <v>101</v>
      </c>
      <c r="AF15" t="s">
        <v>165</v>
      </c>
      <c r="AG15" t="s">
        <v>166</v>
      </c>
      <c r="AH15">
        <v>344.14694489895248</v>
      </c>
      <c r="AI15" t="s">
        <v>47</v>
      </c>
      <c r="AJ15" t="s">
        <v>104</v>
      </c>
      <c r="AK15">
        <v>690.06417067304881</v>
      </c>
      <c r="AL15" t="s">
        <v>105</v>
      </c>
      <c r="AM15" s="41" t="s">
        <v>167</v>
      </c>
    </row>
    <row r="16" spans="1:56">
      <c r="A16">
        <v>2608098642</v>
      </c>
      <c r="B16">
        <v>1141011600</v>
      </c>
      <c r="C16" t="s">
        <v>93</v>
      </c>
      <c r="D16" t="s">
        <v>0</v>
      </c>
      <c r="E16" t="s">
        <v>94</v>
      </c>
      <c r="F16" t="s">
        <v>119</v>
      </c>
      <c r="G16" t="s">
        <v>35</v>
      </c>
      <c r="H16">
        <v>5</v>
      </c>
      <c r="I16">
        <v>35000</v>
      </c>
      <c r="J16">
        <v>0</v>
      </c>
      <c r="K16" t="s">
        <v>420</v>
      </c>
      <c r="L16">
        <v>159</v>
      </c>
      <c r="M16">
        <v>48</v>
      </c>
      <c r="N16">
        <v>729</v>
      </c>
      <c r="O16">
        <v>159</v>
      </c>
      <c r="P16">
        <v>48</v>
      </c>
      <c r="Q16">
        <v>729</v>
      </c>
      <c r="R16" t="s">
        <v>161</v>
      </c>
      <c r="S16" s="40">
        <v>46063</v>
      </c>
      <c r="T16">
        <v>37.559815</v>
      </c>
      <c r="U16">
        <v>126.929175</v>
      </c>
      <c r="V16" t="s">
        <v>421</v>
      </c>
      <c r="W16" t="s">
        <v>200</v>
      </c>
      <c r="X16">
        <v>1</v>
      </c>
      <c r="Y16">
        <v>0</v>
      </c>
      <c r="Z16">
        <v>0</v>
      </c>
      <c r="AA16" t="s">
        <v>124</v>
      </c>
      <c r="AB16" t="s">
        <v>422</v>
      </c>
      <c r="AC16">
        <v>35000</v>
      </c>
      <c r="AD16">
        <v>0</v>
      </c>
      <c r="AE16" t="s">
        <v>101</v>
      </c>
      <c r="AF16" t="s">
        <v>165</v>
      </c>
      <c r="AG16" t="s">
        <v>166</v>
      </c>
      <c r="AH16">
        <v>480.29491933134483</v>
      </c>
      <c r="AI16" t="s">
        <v>47</v>
      </c>
      <c r="AJ16" t="s">
        <v>104</v>
      </c>
      <c r="AK16">
        <v>981.73124538114462</v>
      </c>
      <c r="AL16" t="s">
        <v>105</v>
      </c>
      <c r="AM16" s="41" t="s">
        <v>423</v>
      </c>
      <c r="AN16">
        <f>IFERROR(VALUE(LEFT($W16,FIND("년",$W16)-1)),"")</f>
        <v>25</v>
      </c>
      <c r="AO16" t="str">
        <f>IFERROR(IF(FIND("년",$W16)=3,MID($W16,FIND("년",$W16)+1,FIND("년",$W16)-1),MID($W16,FIND("년",$W16)+1,FIND("년",$W16))),"")</f>
        <v>이내</v>
      </c>
      <c r="AP16">
        <f>IFERROR(IF($AN16&lt;11,10,IF(AND($AN16&lt;26,$AO16="이내"),25,26)),"")</f>
        <v>25</v>
      </c>
      <c r="AQ16">
        <f>IFERROR(IF($P16&lt;10,9,IF($P16&lt;20,10,IF($P16&lt;30,20,IF($P16&lt;40,30,40)))),"")</f>
        <v>40</v>
      </c>
      <c r="AR16" t="str">
        <f>IFERROR(IF($D16="상가",IF($G16="1","1층",IF($G16="전체층","전체층",IF(LEFT($G16,1)="B","B1",IF($G16&lt;6,"저",IF($G16/$H16&lt;=$BC$9,"저",IF($G16/$H16&lt;=$BC$10,"중","고")))))),IF(LEFT($G16,1)="B","B1",IF($H16&lt;6,"저",IF($G16/$H16&lt;=$BC$2,"저",IF($G16/$H16&lt;=$BC$3,"중","고"))))),"")</f>
        <v>B1</v>
      </c>
      <c r="AS16">
        <f>IFERROR(ACOS(SIN(RADIANS(거래사례!$S$11))*SIN(RADIANS($T16))+COS(RADIANS(거래사례!$S$11))*COS(RADIANS($T16))*COS(RADIANS($U16-거래사례!$P$11)))*6371000,"")</f>
        <v>1.7035530151443545</v>
      </c>
    </row>
    <row r="17" spans="1:45" hidden="1">
      <c r="A17">
        <v>2610163162</v>
      </c>
      <c r="B17">
        <v>1144012000</v>
      </c>
      <c r="C17" t="s">
        <v>134</v>
      </c>
      <c r="D17" t="s">
        <v>0</v>
      </c>
      <c r="E17" t="s">
        <v>94</v>
      </c>
      <c r="F17" t="s">
        <v>95</v>
      </c>
      <c r="G17">
        <v>1</v>
      </c>
      <c r="H17">
        <v>19</v>
      </c>
      <c r="I17">
        <v>33000</v>
      </c>
      <c r="J17">
        <v>0</v>
      </c>
      <c r="K17" t="s">
        <v>191</v>
      </c>
      <c r="L17">
        <v>34</v>
      </c>
      <c r="M17">
        <v>10</v>
      </c>
      <c r="N17">
        <v>3300</v>
      </c>
      <c r="O17">
        <v>34.94</v>
      </c>
      <c r="P17">
        <v>10</v>
      </c>
      <c r="Q17">
        <v>3300</v>
      </c>
      <c r="R17" t="s">
        <v>161</v>
      </c>
      <c r="S17" s="40">
        <v>46076</v>
      </c>
      <c r="T17">
        <v>37.553798999999998</v>
      </c>
      <c r="U17">
        <v>126.92370099999999</v>
      </c>
      <c r="V17" t="s">
        <v>192</v>
      </c>
      <c r="W17" t="s">
        <v>193</v>
      </c>
      <c r="X17">
        <v>1</v>
      </c>
      <c r="Y17">
        <v>0</v>
      </c>
      <c r="Z17">
        <v>0</v>
      </c>
      <c r="AA17" t="s">
        <v>139</v>
      </c>
      <c r="AB17" t="s">
        <v>186</v>
      </c>
      <c r="AC17">
        <v>33000</v>
      </c>
      <c r="AD17">
        <v>0</v>
      </c>
      <c r="AE17" t="s">
        <v>101</v>
      </c>
      <c r="AF17" t="s">
        <v>165</v>
      </c>
      <c r="AG17" t="s">
        <v>166</v>
      </c>
      <c r="AH17">
        <v>344.14694489895248</v>
      </c>
      <c r="AI17" t="s">
        <v>47</v>
      </c>
      <c r="AJ17" t="s">
        <v>104</v>
      </c>
      <c r="AK17">
        <v>690.06417067304881</v>
      </c>
      <c r="AL17" t="s">
        <v>105</v>
      </c>
      <c r="AM17" s="41" t="s">
        <v>167</v>
      </c>
    </row>
    <row r="18" spans="1:45" hidden="1">
      <c r="A18">
        <v>2608484582</v>
      </c>
      <c r="B18">
        <v>1144012300</v>
      </c>
      <c r="C18" t="s">
        <v>93</v>
      </c>
      <c r="D18" t="s">
        <v>0</v>
      </c>
      <c r="E18" t="s">
        <v>94</v>
      </c>
      <c r="F18" t="s">
        <v>119</v>
      </c>
      <c r="G18">
        <v>1</v>
      </c>
      <c r="H18">
        <v>6</v>
      </c>
      <c r="I18">
        <v>50000</v>
      </c>
      <c r="J18">
        <v>0</v>
      </c>
      <c r="K18" t="s">
        <v>168</v>
      </c>
      <c r="L18">
        <v>51</v>
      </c>
      <c r="M18">
        <v>15</v>
      </c>
      <c r="N18">
        <v>3333</v>
      </c>
      <c r="O18">
        <v>51.14</v>
      </c>
      <c r="P18">
        <v>15</v>
      </c>
      <c r="Q18">
        <v>3333</v>
      </c>
      <c r="R18" t="s">
        <v>121</v>
      </c>
      <c r="S18" s="40">
        <v>46065</v>
      </c>
      <c r="T18">
        <v>37.552619999999997</v>
      </c>
      <c r="U18">
        <v>126.905399</v>
      </c>
      <c r="V18" t="s">
        <v>194</v>
      </c>
      <c r="W18" t="s">
        <v>195</v>
      </c>
      <c r="X18">
        <v>1</v>
      </c>
      <c r="Y18">
        <v>0</v>
      </c>
      <c r="Z18">
        <v>0</v>
      </c>
      <c r="AA18" t="s">
        <v>124</v>
      </c>
      <c r="AB18" t="s">
        <v>196</v>
      </c>
      <c r="AC18">
        <v>50000</v>
      </c>
      <c r="AD18">
        <v>0</v>
      </c>
      <c r="AE18" t="s">
        <v>101</v>
      </c>
      <c r="AF18" t="s">
        <v>102</v>
      </c>
      <c r="AG18" t="s">
        <v>103</v>
      </c>
      <c r="AH18">
        <v>642.35795060101736</v>
      </c>
      <c r="AI18" t="s">
        <v>47</v>
      </c>
      <c r="AJ18" t="s">
        <v>104</v>
      </c>
      <c r="AK18">
        <v>1479.4643844728992</v>
      </c>
      <c r="AL18" t="s">
        <v>105</v>
      </c>
      <c r="AM18" s="41" t="s">
        <v>197</v>
      </c>
    </row>
    <row r="19" spans="1:45">
      <c r="A19">
        <v>2610247870</v>
      </c>
      <c r="B19">
        <v>1144012100</v>
      </c>
      <c r="C19" t="s">
        <v>93</v>
      </c>
      <c r="D19" t="s">
        <v>0</v>
      </c>
      <c r="E19" t="s">
        <v>94</v>
      </c>
      <c r="F19" t="s">
        <v>95</v>
      </c>
      <c r="G19" t="s">
        <v>35</v>
      </c>
      <c r="H19">
        <v>18</v>
      </c>
      <c r="I19">
        <v>33000</v>
      </c>
      <c r="J19">
        <v>0</v>
      </c>
      <c r="K19" t="s">
        <v>191</v>
      </c>
      <c r="L19">
        <v>184</v>
      </c>
      <c r="M19">
        <v>55</v>
      </c>
      <c r="N19">
        <v>600</v>
      </c>
      <c r="O19">
        <v>81.06</v>
      </c>
      <c r="P19">
        <v>24</v>
      </c>
      <c r="Q19">
        <v>1375</v>
      </c>
      <c r="R19" t="s">
        <v>121</v>
      </c>
      <c r="S19" s="40">
        <v>46077</v>
      </c>
      <c r="T19">
        <v>37.556083999999998</v>
      </c>
      <c r="U19">
        <v>126.923455</v>
      </c>
      <c r="V19" t="s">
        <v>424</v>
      </c>
      <c r="W19" t="s">
        <v>425</v>
      </c>
      <c r="X19">
        <v>1</v>
      </c>
      <c r="Y19">
        <v>0</v>
      </c>
      <c r="Z19">
        <v>0</v>
      </c>
      <c r="AA19" t="s">
        <v>113</v>
      </c>
      <c r="AB19" t="s">
        <v>308</v>
      </c>
      <c r="AC19">
        <v>33000</v>
      </c>
      <c r="AD19">
        <v>0</v>
      </c>
      <c r="AE19" t="s">
        <v>101</v>
      </c>
      <c r="AF19" t="s">
        <v>165</v>
      </c>
      <c r="AG19" t="s">
        <v>166</v>
      </c>
      <c r="AH19">
        <v>93.029525670005455</v>
      </c>
      <c r="AI19" t="s">
        <v>47</v>
      </c>
      <c r="AJ19" t="s">
        <v>104</v>
      </c>
      <c r="AK19">
        <v>837.53034349574909</v>
      </c>
      <c r="AL19" t="s">
        <v>105</v>
      </c>
      <c r="AM19" s="41" t="s">
        <v>426</v>
      </c>
      <c r="AN19">
        <f>IFERROR(VALUE(LEFT($W19,FIND("년",$W19)-1)),"")</f>
        <v>25</v>
      </c>
      <c r="AO19" t="str">
        <f>IFERROR(IF(FIND("년",$W19)=3,MID($W19,FIND("년",$W19)+1,FIND("년",$W19)-1),MID($W19,FIND("년",$W19)+1,FIND("년",$W19))),"")</f>
        <v>이상</v>
      </c>
      <c r="AP19">
        <f>IFERROR(IF($AN19&lt;11,10,IF(AND($AN19&lt;26,$AO19="이내"),25,26)),"")</f>
        <v>26</v>
      </c>
      <c r="AQ19">
        <f>IFERROR(IF($P19&lt;10,9,IF($P19&lt;20,10,IF($P19&lt;30,20,IF($P19&lt;40,30,40)))),"")</f>
        <v>20</v>
      </c>
      <c r="AR19" t="str">
        <f>IFERROR(IF($D19="상가",IF($G19="1","1층",IF($G19="전체층","전체층",IF(LEFT($G19,1)="B","B1",IF($G19&lt;6,"저",IF($G19/$H19&lt;=$BC$9,"저",IF($G19/$H19&lt;=$BC$10,"중","고")))))),IF(LEFT($G19,1)="B","B1",IF($H19&lt;6,"저",IF($G19/$H19&lt;=$BC$2,"저",IF($G19/$H19&lt;=$BC$3,"중","고"))))),"")</f>
        <v>B1</v>
      </c>
      <c r="AS19">
        <f>IFERROR(ACOS(SIN(RADIANS(거래사례!$S$11))*SIN(RADIANS($T19))+COS(RADIANS(거래사례!$S$11))*COS(RADIANS($T19))*COS(RADIANS($U19-거래사례!$P$11)))*6371000,"")</f>
        <v>651.4235742815664</v>
      </c>
    </row>
    <row r="20" spans="1:45" hidden="1">
      <c r="A20">
        <v>2611331018</v>
      </c>
      <c r="B20">
        <v>1144012000</v>
      </c>
      <c r="C20" t="s">
        <v>134</v>
      </c>
      <c r="D20" t="s">
        <v>0</v>
      </c>
      <c r="E20" t="s">
        <v>94</v>
      </c>
      <c r="F20" t="s">
        <v>108</v>
      </c>
      <c r="G20">
        <v>1</v>
      </c>
      <c r="H20">
        <v>2</v>
      </c>
      <c r="I20">
        <v>45000</v>
      </c>
      <c r="J20">
        <v>0</v>
      </c>
      <c r="K20" t="s">
        <v>203</v>
      </c>
      <c r="L20">
        <v>97</v>
      </c>
      <c r="M20">
        <v>29</v>
      </c>
      <c r="N20">
        <v>1551</v>
      </c>
      <c r="O20">
        <v>44.08</v>
      </c>
      <c r="P20">
        <v>13</v>
      </c>
      <c r="Q20">
        <v>3462</v>
      </c>
      <c r="R20" t="s">
        <v>136</v>
      </c>
      <c r="S20" s="40">
        <v>46081</v>
      </c>
      <c r="T20">
        <v>37.550941000000002</v>
      </c>
      <c r="U20">
        <v>126.913787</v>
      </c>
      <c r="V20" t="s">
        <v>204</v>
      </c>
      <c r="W20" t="s">
        <v>205</v>
      </c>
      <c r="X20">
        <v>1</v>
      </c>
      <c r="Y20">
        <v>0</v>
      </c>
      <c r="Z20">
        <v>0</v>
      </c>
      <c r="AA20" t="s">
        <v>139</v>
      </c>
      <c r="AB20" t="s">
        <v>206</v>
      </c>
      <c r="AC20">
        <v>45000</v>
      </c>
      <c r="AD20">
        <v>0</v>
      </c>
      <c r="AE20" t="s">
        <v>101</v>
      </c>
      <c r="AF20" t="s">
        <v>115</v>
      </c>
      <c r="AG20" t="s">
        <v>116</v>
      </c>
      <c r="AH20">
        <v>132.01770664783839</v>
      </c>
      <c r="AI20" t="s">
        <v>47</v>
      </c>
      <c r="AJ20" t="s">
        <v>104</v>
      </c>
      <c r="AK20">
        <v>528.48255152744889</v>
      </c>
      <c r="AL20">
        <v>1</v>
      </c>
      <c r="AM20" s="41" t="s">
        <v>178</v>
      </c>
    </row>
    <row r="21" spans="1:45" hidden="1">
      <c r="A21">
        <v>2611153457</v>
      </c>
      <c r="B21">
        <v>1156012900</v>
      </c>
      <c r="C21" t="s">
        <v>134</v>
      </c>
      <c r="D21" t="s">
        <v>0</v>
      </c>
      <c r="E21" t="s">
        <v>94</v>
      </c>
      <c r="F21" t="s">
        <v>108</v>
      </c>
      <c r="G21">
        <v>1</v>
      </c>
      <c r="H21">
        <v>19</v>
      </c>
      <c r="I21">
        <v>14000</v>
      </c>
      <c r="J21">
        <v>0</v>
      </c>
      <c r="K21" t="s">
        <v>207</v>
      </c>
      <c r="L21">
        <v>23</v>
      </c>
      <c r="M21">
        <v>6</v>
      </c>
      <c r="N21">
        <v>2333</v>
      </c>
      <c r="O21">
        <v>15.3</v>
      </c>
      <c r="P21">
        <v>4</v>
      </c>
      <c r="Q21">
        <v>3500</v>
      </c>
      <c r="R21" t="s">
        <v>208</v>
      </c>
      <c r="S21" s="40">
        <v>46080</v>
      </c>
      <c r="T21">
        <v>37.540125000000003</v>
      </c>
      <c r="U21">
        <v>126.892109</v>
      </c>
      <c r="V21" t="s">
        <v>209</v>
      </c>
      <c r="W21" t="s">
        <v>156</v>
      </c>
      <c r="X21">
        <v>1</v>
      </c>
      <c r="Y21">
        <v>0</v>
      </c>
      <c r="Z21">
        <v>0</v>
      </c>
      <c r="AA21" t="s">
        <v>99</v>
      </c>
      <c r="AB21" t="s">
        <v>210</v>
      </c>
      <c r="AC21">
        <v>14000</v>
      </c>
      <c r="AD21">
        <v>0</v>
      </c>
      <c r="AE21" t="s">
        <v>101</v>
      </c>
      <c r="AF21" t="s">
        <v>158</v>
      </c>
      <c r="AG21" t="s">
        <v>159</v>
      </c>
      <c r="AH21">
        <v>307.01938948042164</v>
      </c>
      <c r="AI21" t="s">
        <v>49</v>
      </c>
      <c r="AJ21" t="s">
        <v>104</v>
      </c>
      <c r="AK21">
        <v>399.53222524398132</v>
      </c>
      <c r="AL21">
        <v>1</v>
      </c>
      <c r="AM21" s="41" t="s">
        <v>160</v>
      </c>
    </row>
    <row r="22" spans="1:45">
      <c r="A22">
        <v>2608659566</v>
      </c>
      <c r="B22">
        <v>1144012100</v>
      </c>
      <c r="C22" t="s">
        <v>93</v>
      </c>
      <c r="D22" t="s">
        <v>0</v>
      </c>
      <c r="E22" t="s">
        <v>94</v>
      </c>
      <c r="F22" t="s">
        <v>95</v>
      </c>
      <c r="G22" t="s">
        <v>35</v>
      </c>
      <c r="H22">
        <v>18</v>
      </c>
      <c r="I22">
        <v>33000</v>
      </c>
      <c r="J22">
        <v>0</v>
      </c>
      <c r="K22" t="s">
        <v>191</v>
      </c>
      <c r="L22">
        <v>184</v>
      </c>
      <c r="M22">
        <v>55</v>
      </c>
      <c r="N22">
        <v>600</v>
      </c>
      <c r="O22">
        <v>81</v>
      </c>
      <c r="P22">
        <v>24</v>
      </c>
      <c r="Q22">
        <v>1375</v>
      </c>
      <c r="R22" t="s">
        <v>121</v>
      </c>
      <c r="S22" s="40">
        <v>46066</v>
      </c>
      <c r="T22">
        <v>37.556083999999998</v>
      </c>
      <c r="U22">
        <v>126.923455</v>
      </c>
      <c r="V22" t="s">
        <v>427</v>
      </c>
      <c r="W22" t="s">
        <v>428</v>
      </c>
      <c r="X22">
        <v>1</v>
      </c>
      <c r="Y22">
        <v>0</v>
      </c>
      <c r="Z22">
        <v>0</v>
      </c>
      <c r="AA22" t="s">
        <v>113</v>
      </c>
      <c r="AB22" t="s">
        <v>429</v>
      </c>
      <c r="AC22">
        <v>33000</v>
      </c>
      <c r="AD22">
        <v>0</v>
      </c>
      <c r="AE22" t="s">
        <v>101</v>
      </c>
      <c r="AF22" t="s">
        <v>165</v>
      </c>
      <c r="AG22" t="s">
        <v>166</v>
      </c>
      <c r="AH22">
        <v>93.029525670005455</v>
      </c>
      <c r="AI22" t="s">
        <v>47</v>
      </c>
      <c r="AJ22" t="s">
        <v>104</v>
      </c>
      <c r="AK22">
        <v>837.53034349574909</v>
      </c>
      <c r="AL22" t="s">
        <v>105</v>
      </c>
      <c r="AM22" s="41" t="s">
        <v>426</v>
      </c>
      <c r="AN22">
        <f>IFERROR(VALUE(LEFT($W22,FIND("년",$W22)-1)),"")</f>
        <v>25</v>
      </c>
      <c r="AO22" t="str">
        <f>IFERROR(IF(FIND("년",$W22)=3,MID($W22,FIND("년",$W22)+1,FIND("년",$W22)-1),MID($W22,FIND("년",$W22)+1,FIND("년",$W22))),"")</f>
        <v>이상</v>
      </c>
      <c r="AP22">
        <f>IFERROR(IF($AN22&lt;11,10,IF(AND($AN22&lt;26,$AO22="이내"),25,26)),"")</f>
        <v>26</v>
      </c>
      <c r="AQ22">
        <f>IFERROR(IF($P22&lt;10,9,IF($P22&lt;20,10,IF($P22&lt;30,20,IF($P22&lt;40,30,40)))),"")</f>
        <v>20</v>
      </c>
      <c r="AR22" t="str">
        <f>IFERROR(IF($D22="상가",IF($G22="1","1층",IF($G22="전체층","전체층",IF(LEFT($G22,1)="B","B1",IF($G22&lt;6,"저",IF($G22/$H22&lt;=$BC$9,"저",IF($G22/$H22&lt;=$BC$10,"중","고")))))),IF(LEFT($G22,1)="B","B1",IF($H22&lt;6,"저",IF($G22/$H22&lt;=$BC$2,"저",IF($G22/$H22&lt;=$BC$3,"중","고"))))),"")</f>
        <v>B1</v>
      </c>
      <c r="AS22">
        <f>IFERROR(ACOS(SIN(RADIANS(거래사례!$S$11))*SIN(RADIANS($T22))+COS(RADIANS(거래사례!$S$11))*COS(RADIANS($T22))*COS(RADIANS($U22-거래사례!$P$11)))*6371000,"")</f>
        <v>651.4235742815664</v>
      </c>
    </row>
    <row r="23" spans="1:45" hidden="1">
      <c r="A23">
        <v>2608035268</v>
      </c>
      <c r="B23">
        <v>1156012900</v>
      </c>
      <c r="C23" t="s">
        <v>134</v>
      </c>
      <c r="D23" t="s">
        <v>0</v>
      </c>
      <c r="E23" t="s">
        <v>94</v>
      </c>
      <c r="F23" t="s">
        <v>95</v>
      </c>
      <c r="G23">
        <v>1</v>
      </c>
      <c r="H23">
        <v>19</v>
      </c>
      <c r="I23">
        <v>21000</v>
      </c>
      <c r="J23">
        <v>0</v>
      </c>
      <c r="K23" t="s">
        <v>215</v>
      </c>
      <c r="L23">
        <v>22</v>
      </c>
      <c r="M23">
        <v>6</v>
      </c>
      <c r="N23">
        <v>3500</v>
      </c>
      <c r="O23">
        <v>18.36</v>
      </c>
      <c r="P23">
        <v>5</v>
      </c>
      <c r="Q23">
        <v>4200</v>
      </c>
      <c r="R23" t="s">
        <v>208</v>
      </c>
      <c r="S23" s="40">
        <v>46063</v>
      </c>
      <c r="T23">
        <v>37.540125000000003</v>
      </c>
      <c r="U23">
        <v>126.892109</v>
      </c>
      <c r="V23" t="s">
        <v>216</v>
      </c>
      <c r="W23" t="s">
        <v>217</v>
      </c>
      <c r="X23">
        <v>1</v>
      </c>
      <c r="Y23">
        <v>0</v>
      </c>
      <c r="Z23">
        <v>0</v>
      </c>
      <c r="AA23" t="s">
        <v>113</v>
      </c>
      <c r="AB23" t="s">
        <v>182</v>
      </c>
      <c r="AC23">
        <v>21000</v>
      </c>
      <c r="AD23">
        <v>0</v>
      </c>
      <c r="AE23" t="s">
        <v>101</v>
      </c>
      <c r="AF23" t="s">
        <v>158</v>
      </c>
      <c r="AG23" t="s">
        <v>159</v>
      </c>
      <c r="AH23">
        <v>307.01938948042164</v>
      </c>
      <c r="AI23" t="s">
        <v>49</v>
      </c>
      <c r="AJ23" t="s">
        <v>104</v>
      </c>
      <c r="AK23">
        <v>399.53222524398132</v>
      </c>
      <c r="AL23">
        <v>1</v>
      </c>
      <c r="AM23" s="41" t="s">
        <v>160</v>
      </c>
    </row>
    <row r="24" spans="1:45" hidden="1">
      <c r="A24">
        <v>2606490380</v>
      </c>
      <c r="B24">
        <v>1156012900</v>
      </c>
      <c r="C24" t="s">
        <v>134</v>
      </c>
      <c r="D24" t="s">
        <v>0</v>
      </c>
      <c r="E24" t="s">
        <v>94</v>
      </c>
      <c r="F24" t="s">
        <v>95</v>
      </c>
      <c r="G24">
        <v>1</v>
      </c>
      <c r="H24">
        <v>19</v>
      </c>
      <c r="I24">
        <v>21000</v>
      </c>
      <c r="J24">
        <v>0</v>
      </c>
      <c r="K24" t="s">
        <v>215</v>
      </c>
      <c r="L24">
        <v>27</v>
      </c>
      <c r="M24">
        <v>8</v>
      </c>
      <c r="N24">
        <v>2625</v>
      </c>
      <c r="O24">
        <v>18.36</v>
      </c>
      <c r="P24">
        <v>5</v>
      </c>
      <c r="Q24">
        <v>4200</v>
      </c>
      <c r="R24" t="s">
        <v>208</v>
      </c>
      <c r="S24" s="40">
        <v>46056</v>
      </c>
      <c r="T24">
        <v>37.540125000000003</v>
      </c>
      <c r="U24">
        <v>126.892109</v>
      </c>
      <c r="V24" t="s">
        <v>218</v>
      </c>
      <c r="W24" t="s">
        <v>156</v>
      </c>
      <c r="X24">
        <v>1</v>
      </c>
      <c r="Y24">
        <v>0</v>
      </c>
      <c r="Z24">
        <v>0</v>
      </c>
      <c r="AA24" t="s">
        <v>113</v>
      </c>
      <c r="AB24" t="s">
        <v>157</v>
      </c>
      <c r="AC24">
        <v>21000</v>
      </c>
      <c r="AD24">
        <v>0</v>
      </c>
      <c r="AE24" t="s">
        <v>101</v>
      </c>
      <c r="AF24" t="s">
        <v>158</v>
      </c>
      <c r="AG24" t="s">
        <v>159</v>
      </c>
      <c r="AH24">
        <v>307.01938948042164</v>
      </c>
      <c r="AI24" t="s">
        <v>49</v>
      </c>
      <c r="AJ24" t="s">
        <v>104</v>
      </c>
      <c r="AK24">
        <v>399.53222524398132</v>
      </c>
      <c r="AL24">
        <v>1</v>
      </c>
      <c r="AM24" s="41" t="s">
        <v>160</v>
      </c>
    </row>
    <row r="25" spans="1:45">
      <c r="A25">
        <v>2606569693</v>
      </c>
      <c r="B25">
        <v>1144012100</v>
      </c>
      <c r="C25" t="s">
        <v>93</v>
      </c>
      <c r="D25" t="s">
        <v>0</v>
      </c>
      <c r="E25" t="s">
        <v>94</v>
      </c>
      <c r="F25" t="s">
        <v>95</v>
      </c>
      <c r="G25" t="s">
        <v>35</v>
      </c>
      <c r="H25">
        <v>18</v>
      </c>
      <c r="I25">
        <v>33000</v>
      </c>
      <c r="J25">
        <v>0</v>
      </c>
      <c r="K25" t="s">
        <v>191</v>
      </c>
      <c r="L25">
        <v>184</v>
      </c>
      <c r="M25">
        <v>55</v>
      </c>
      <c r="N25">
        <v>600</v>
      </c>
      <c r="O25">
        <v>81.06</v>
      </c>
      <c r="P25">
        <v>24</v>
      </c>
      <c r="Q25">
        <v>1375</v>
      </c>
      <c r="R25" t="s">
        <v>110</v>
      </c>
      <c r="S25" s="40">
        <v>46056</v>
      </c>
      <c r="T25">
        <v>37.556083999999998</v>
      </c>
      <c r="U25">
        <v>126.923455</v>
      </c>
      <c r="V25" t="s">
        <v>430</v>
      </c>
      <c r="W25" t="s">
        <v>431</v>
      </c>
      <c r="X25">
        <v>1</v>
      </c>
      <c r="Y25">
        <v>0</v>
      </c>
      <c r="Z25">
        <v>0</v>
      </c>
      <c r="AA25" t="s">
        <v>113</v>
      </c>
      <c r="AB25" t="s">
        <v>432</v>
      </c>
      <c r="AC25">
        <v>33000</v>
      </c>
      <c r="AD25">
        <v>0</v>
      </c>
      <c r="AE25" t="s">
        <v>101</v>
      </c>
      <c r="AF25" t="s">
        <v>165</v>
      </c>
      <c r="AG25" t="s">
        <v>166</v>
      </c>
      <c r="AH25">
        <v>93.029525670005455</v>
      </c>
      <c r="AI25" t="s">
        <v>47</v>
      </c>
      <c r="AJ25" t="s">
        <v>104</v>
      </c>
      <c r="AK25">
        <v>837.53034349574909</v>
      </c>
      <c r="AL25" t="s">
        <v>105</v>
      </c>
      <c r="AM25" s="41" t="s">
        <v>426</v>
      </c>
      <c r="AN25">
        <f>IFERROR(VALUE(LEFT($W25,FIND("년",$W25)-1)),"")</f>
        <v>25</v>
      </c>
      <c r="AO25" t="str">
        <f>IFERROR(IF(FIND("년",$W25)=3,MID($W25,FIND("년",$W25)+1,FIND("년",$W25)-1),MID($W25,FIND("년",$W25)+1,FIND("년",$W25))),"")</f>
        <v>이상</v>
      </c>
      <c r="AP25">
        <f>IFERROR(IF($AN25&lt;11,10,IF(AND($AN25&lt;26,$AO25="이내"),25,26)),"")</f>
        <v>26</v>
      </c>
      <c r="AQ25">
        <f>IFERROR(IF($P25&lt;10,9,IF($P25&lt;20,10,IF($P25&lt;30,20,IF($P25&lt;40,30,40)))),"")</f>
        <v>20</v>
      </c>
      <c r="AR25" t="str">
        <f>IFERROR(IF($D25="상가",IF($G25="1","1층",IF($G25="전체층","전체층",IF(LEFT($G25,1)="B","B1",IF($G25&lt;6,"저",IF($G25/$H25&lt;=$BC$9,"저",IF($G25/$H25&lt;=$BC$10,"중","고")))))),IF(LEFT($G25,1)="B","B1",IF($H25&lt;6,"저",IF($G25/$H25&lt;=$BC$2,"저",IF($G25/$H25&lt;=$BC$3,"중","고"))))),"")</f>
        <v>B1</v>
      </c>
      <c r="AS25">
        <f>IFERROR(ACOS(SIN(RADIANS(거래사례!$S$11))*SIN(RADIANS($T25))+COS(RADIANS(거래사례!$S$11))*COS(RADIANS($T25))*COS(RADIANS($U25-거래사례!$P$11)))*6371000,"")</f>
        <v>651.4235742815664</v>
      </c>
    </row>
    <row r="26" spans="1:45" hidden="1">
      <c r="A26">
        <v>2608389578</v>
      </c>
      <c r="B26">
        <v>1144012000</v>
      </c>
      <c r="C26" t="s">
        <v>211</v>
      </c>
      <c r="D26" t="s">
        <v>0</v>
      </c>
      <c r="E26" t="s">
        <v>94</v>
      </c>
      <c r="F26" t="s">
        <v>135</v>
      </c>
      <c r="G26">
        <v>1</v>
      </c>
      <c r="H26">
        <v>2</v>
      </c>
      <c r="I26">
        <v>70000</v>
      </c>
      <c r="J26">
        <v>0</v>
      </c>
      <c r="K26" t="s">
        <v>225</v>
      </c>
      <c r="L26">
        <v>85</v>
      </c>
      <c r="M26">
        <v>25</v>
      </c>
      <c r="N26">
        <v>2800</v>
      </c>
      <c r="O26">
        <v>54.41</v>
      </c>
      <c r="P26">
        <v>16</v>
      </c>
      <c r="Q26">
        <v>4375</v>
      </c>
      <c r="R26" t="s">
        <v>161</v>
      </c>
      <c r="S26" s="40">
        <v>46065</v>
      </c>
      <c r="T26">
        <v>37.550941999999999</v>
      </c>
      <c r="U26">
        <v>126.913787</v>
      </c>
      <c r="V26" t="s">
        <v>226</v>
      </c>
      <c r="W26" t="s">
        <v>205</v>
      </c>
      <c r="X26">
        <v>1</v>
      </c>
      <c r="Y26">
        <v>0</v>
      </c>
      <c r="Z26">
        <v>0</v>
      </c>
      <c r="AA26" t="s">
        <v>99</v>
      </c>
      <c r="AB26" t="s">
        <v>227</v>
      </c>
      <c r="AC26">
        <v>70000</v>
      </c>
      <c r="AD26">
        <v>0</v>
      </c>
      <c r="AE26" t="s">
        <v>101</v>
      </c>
      <c r="AF26" t="s">
        <v>115</v>
      </c>
      <c r="AG26" t="s">
        <v>116</v>
      </c>
      <c r="AH26">
        <v>132.09524505029225</v>
      </c>
      <c r="AI26" t="s">
        <v>47</v>
      </c>
      <c r="AJ26" t="s">
        <v>104</v>
      </c>
      <c r="AK26">
        <v>528.49483569447079</v>
      </c>
      <c r="AL26">
        <v>1</v>
      </c>
      <c r="AM26" s="41" t="s">
        <v>178</v>
      </c>
    </row>
    <row r="27" spans="1:45">
      <c r="A27">
        <v>2610247870</v>
      </c>
      <c r="B27">
        <v>1144012100</v>
      </c>
      <c r="C27" t="s">
        <v>93</v>
      </c>
      <c r="D27" t="s">
        <v>0</v>
      </c>
      <c r="E27" t="s">
        <v>94</v>
      </c>
      <c r="F27" t="s">
        <v>95</v>
      </c>
      <c r="G27" t="s">
        <v>35</v>
      </c>
      <c r="H27">
        <v>18</v>
      </c>
      <c r="I27">
        <v>33000</v>
      </c>
      <c r="J27">
        <v>0</v>
      </c>
      <c r="K27" t="s">
        <v>191</v>
      </c>
      <c r="L27">
        <v>184</v>
      </c>
      <c r="M27">
        <v>55</v>
      </c>
      <c r="N27">
        <v>600</v>
      </c>
      <c r="O27">
        <v>81.06</v>
      </c>
      <c r="P27">
        <v>24</v>
      </c>
      <c r="Q27">
        <v>1375</v>
      </c>
      <c r="R27" t="s">
        <v>121</v>
      </c>
      <c r="S27" s="40">
        <v>46077</v>
      </c>
      <c r="T27">
        <v>37.556083999999998</v>
      </c>
      <c r="U27">
        <v>126.923455</v>
      </c>
      <c r="V27" t="s">
        <v>424</v>
      </c>
      <c r="W27" t="s">
        <v>425</v>
      </c>
      <c r="X27">
        <v>1</v>
      </c>
      <c r="Y27">
        <v>0</v>
      </c>
      <c r="Z27">
        <v>0</v>
      </c>
      <c r="AA27" t="s">
        <v>113</v>
      </c>
      <c r="AB27" t="s">
        <v>308</v>
      </c>
      <c r="AC27">
        <v>33000</v>
      </c>
      <c r="AD27">
        <v>0</v>
      </c>
      <c r="AE27" t="s">
        <v>101</v>
      </c>
      <c r="AF27" t="s">
        <v>165</v>
      </c>
      <c r="AG27" t="s">
        <v>166</v>
      </c>
      <c r="AH27">
        <v>93.029525670005455</v>
      </c>
      <c r="AI27" t="s">
        <v>47</v>
      </c>
      <c r="AJ27" t="s">
        <v>104</v>
      </c>
      <c r="AK27">
        <v>837.53034349574909</v>
      </c>
      <c r="AL27" t="s">
        <v>105</v>
      </c>
      <c r="AM27" s="41" t="s">
        <v>426</v>
      </c>
      <c r="AN27">
        <f t="shared" ref="AN27:AN29" si="5">IFERROR(VALUE(LEFT($W27,FIND("년",$W27)-1)),"")</f>
        <v>25</v>
      </c>
      <c r="AO27" t="str">
        <f t="shared" ref="AO27:AO29" si="6">IFERROR(IF(FIND("년",$W27)=3,MID($W27,FIND("년",$W27)+1,FIND("년",$W27)-1),MID($W27,FIND("년",$W27)+1,FIND("년",$W27))),"")</f>
        <v>이상</v>
      </c>
      <c r="AP27">
        <f t="shared" ref="AP27:AP29" si="7">IFERROR(IF($AN27&lt;11,10,IF(AND($AN27&lt;26,$AO27="이내"),25,26)),"")</f>
        <v>26</v>
      </c>
      <c r="AQ27">
        <f t="shared" ref="AQ27:AQ29" si="8">IFERROR(IF($P27&lt;10,9,IF($P27&lt;20,10,IF($P27&lt;30,20,IF($P27&lt;40,30,40)))),"")</f>
        <v>20</v>
      </c>
      <c r="AR27" t="str">
        <f t="shared" ref="AR27:AR29" si="9">IFERROR(IF($D27="상가",IF($G27="1","1층",IF($G27="전체층","전체층",IF(LEFT($G27,1)="B","B1",IF($G27&lt;6,"저",IF($G27/$H27&lt;=$BC$9,"저",IF($G27/$H27&lt;=$BC$10,"중","고")))))),IF(LEFT($G27,1)="B","B1",IF($H27&lt;6,"저",IF($G27/$H27&lt;=$BC$2,"저",IF($G27/$H27&lt;=$BC$3,"중","고"))))),"")</f>
        <v>B1</v>
      </c>
      <c r="AS27">
        <f>IFERROR(ACOS(SIN(RADIANS(거래사례!$S$11))*SIN(RADIANS($T27))+COS(RADIANS(거래사례!$S$11))*COS(RADIANS($T27))*COS(RADIANS($U27-거래사례!$P$11)))*6371000,"")</f>
        <v>651.4235742815664</v>
      </c>
    </row>
    <row r="28" spans="1:45">
      <c r="A28">
        <v>2608659566</v>
      </c>
      <c r="B28">
        <v>1144012100</v>
      </c>
      <c r="C28" t="s">
        <v>93</v>
      </c>
      <c r="D28" t="s">
        <v>0</v>
      </c>
      <c r="E28" t="s">
        <v>94</v>
      </c>
      <c r="F28" t="s">
        <v>95</v>
      </c>
      <c r="G28" t="s">
        <v>35</v>
      </c>
      <c r="H28">
        <v>18</v>
      </c>
      <c r="I28">
        <v>33000</v>
      </c>
      <c r="J28">
        <v>0</v>
      </c>
      <c r="K28" t="s">
        <v>191</v>
      </c>
      <c r="L28">
        <v>184</v>
      </c>
      <c r="M28">
        <v>55</v>
      </c>
      <c r="N28">
        <v>600</v>
      </c>
      <c r="O28">
        <v>81</v>
      </c>
      <c r="P28">
        <v>24</v>
      </c>
      <c r="Q28">
        <v>1375</v>
      </c>
      <c r="R28" t="s">
        <v>121</v>
      </c>
      <c r="S28" s="40">
        <v>46066</v>
      </c>
      <c r="T28">
        <v>37.556083999999998</v>
      </c>
      <c r="U28">
        <v>126.923455</v>
      </c>
      <c r="V28" t="s">
        <v>427</v>
      </c>
      <c r="W28" t="s">
        <v>428</v>
      </c>
      <c r="X28">
        <v>1</v>
      </c>
      <c r="Y28">
        <v>0</v>
      </c>
      <c r="Z28">
        <v>0</v>
      </c>
      <c r="AA28" t="s">
        <v>113</v>
      </c>
      <c r="AB28" t="s">
        <v>429</v>
      </c>
      <c r="AC28">
        <v>33000</v>
      </c>
      <c r="AD28">
        <v>0</v>
      </c>
      <c r="AE28" t="s">
        <v>101</v>
      </c>
      <c r="AF28" t="s">
        <v>165</v>
      </c>
      <c r="AG28" t="s">
        <v>166</v>
      </c>
      <c r="AH28">
        <v>93.029525670005455</v>
      </c>
      <c r="AI28" t="s">
        <v>47</v>
      </c>
      <c r="AJ28" t="s">
        <v>104</v>
      </c>
      <c r="AK28">
        <v>837.53034349574909</v>
      </c>
      <c r="AL28" t="s">
        <v>105</v>
      </c>
      <c r="AM28" s="41" t="s">
        <v>426</v>
      </c>
      <c r="AN28">
        <f t="shared" si="5"/>
        <v>25</v>
      </c>
      <c r="AO28" t="str">
        <f t="shared" si="6"/>
        <v>이상</v>
      </c>
      <c r="AP28">
        <f t="shared" si="7"/>
        <v>26</v>
      </c>
      <c r="AQ28">
        <f t="shared" si="8"/>
        <v>20</v>
      </c>
      <c r="AR28" t="str">
        <f t="shared" si="9"/>
        <v>B1</v>
      </c>
      <c r="AS28">
        <f>IFERROR(ACOS(SIN(RADIANS(거래사례!$S$11))*SIN(RADIANS($T28))+COS(RADIANS(거래사례!$S$11))*COS(RADIANS($T28))*COS(RADIANS($U28-거래사례!$P$11)))*6371000,"")</f>
        <v>651.4235742815664</v>
      </c>
    </row>
    <row r="29" spans="1:45">
      <c r="A29">
        <v>2606569693</v>
      </c>
      <c r="B29">
        <v>1144012100</v>
      </c>
      <c r="C29" t="s">
        <v>93</v>
      </c>
      <c r="D29" t="s">
        <v>0</v>
      </c>
      <c r="E29" t="s">
        <v>94</v>
      </c>
      <c r="F29" t="s">
        <v>95</v>
      </c>
      <c r="G29" t="s">
        <v>35</v>
      </c>
      <c r="H29">
        <v>18</v>
      </c>
      <c r="I29">
        <v>33000</v>
      </c>
      <c r="J29">
        <v>0</v>
      </c>
      <c r="K29" t="s">
        <v>191</v>
      </c>
      <c r="L29">
        <v>184</v>
      </c>
      <c r="M29">
        <v>55</v>
      </c>
      <c r="N29">
        <v>600</v>
      </c>
      <c r="O29">
        <v>81.06</v>
      </c>
      <c r="P29">
        <v>24</v>
      </c>
      <c r="Q29">
        <v>1375</v>
      </c>
      <c r="R29" t="s">
        <v>110</v>
      </c>
      <c r="S29" s="40">
        <v>46056</v>
      </c>
      <c r="T29">
        <v>37.556083999999998</v>
      </c>
      <c r="U29">
        <v>126.923455</v>
      </c>
      <c r="V29" t="s">
        <v>430</v>
      </c>
      <c r="W29" t="s">
        <v>431</v>
      </c>
      <c r="X29">
        <v>1</v>
      </c>
      <c r="Y29">
        <v>0</v>
      </c>
      <c r="Z29">
        <v>0</v>
      </c>
      <c r="AA29" t="s">
        <v>113</v>
      </c>
      <c r="AB29" t="s">
        <v>432</v>
      </c>
      <c r="AC29">
        <v>33000</v>
      </c>
      <c r="AD29">
        <v>0</v>
      </c>
      <c r="AE29" t="s">
        <v>101</v>
      </c>
      <c r="AF29" t="s">
        <v>165</v>
      </c>
      <c r="AG29" t="s">
        <v>166</v>
      </c>
      <c r="AH29">
        <v>93.029525670005455</v>
      </c>
      <c r="AI29" t="s">
        <v>47</v>
      </c>
      <c r="AJ29" t="s">
        <v>104</v>
      </c>
      <c r="AK29">
        <v>837.53034349574909</v>
      </c>
      <c r="AL29" t="s">
        <v>105</v>
      </c>
      <c r="AM29" s="41" t="s">
        <v>426</v>
      </c>
      <c r="AN29">
        <f t="shared" si="5"/>
        <v>25</v>
      </c>
      <c r="AO29" t="str">
        <f t="shared" si="6"/>
        <v>이상</v>
      </c>
      <c r="AP29">
        <f t="shared" si="7"/>
        <v>26</v>
      </c>
      <c r="AQ29">
        <f t="shared" si="8"/>
        <v>20</v>
      </c>
      <c r="AR29" t="str">
        <f t="shared" si="9"/>
        <v>B1</v>
      </c>
      <c r="AS29">
        <f>IFERROR(ACOS(SIN(RADIANS(거래사례!$S$11))*SIN(RADIANS($T29))+COS(RADIANS(거래사례!$S$11))*COS(RADIANS($T29))*COS(RADIANS($U29-거래사례!$P$11)))*6371000,"")</f>
        <v>651.4235742815664</v>
      </c>
    </row>
    <row r="30" spans="1:45" hidden="1">
      <c r="A30">
        <v>2608195913</v>
      </c>
      <c r="B30">
        <v>1156012900</v>
      </c>
      <c r="C30" t="s">
        <v>134</v>
      </c>
      <c r="D30" t="s">
        <v>0</v>
      </c>
      <c r="E30" t="s">
        <v>94</v>
      </c>
      <c r="F30" t="s">
        <v>95</v>
      </c>
      <c r="G30">
        <v>1</v>
      </c>
      <c r="H30">
        <v>19</v>
      </c>
      <c r="I30">
        <v>23000</v>
      </c>
      <c r="J30">
        <v>0</v>
      </c>
      <c r="K30" t="s">
        <v>235</v>
      </c>
      <c r="L30">
        <v>28</v>
      </c>
      <c r="M30">
        <v>8</v>
      </c>
      <c r="N30">
        <v>2875</v>
      </c>
      <c r="O30">
        <v>18.3</v>
      </c>
      <c r="P30">
        <v>5</v>
      </c>
      <c r="Q30">
        <v>4600</v>
      </c>
      <c r="R30" t="s">
        <v>110</v>
      </c>
      <c r="S30" s="40">
        <v>46064</v>
      </c>
      <c r="T30">
        <v>37.540125000000003</v>
      </c>
      <c r="U30">
        <v>126.892109</v>
      </c>
      <c r="V30" t="s">
        <v>236</v>
      </c>
      <c r="W30" t="s">
        <v>156</v>
      </c>
      <c r="X30">
        <v>1</v>
      </c>
      <c r="Y30">
        <v>0</v>
      </c>
      <c r="Z30">
        <v>0</v>
      </c>
      <c r="AA30" t="s">
        <v>99</v>
      </c>
      <c r="AB30" t="s">
        <v>237</v>
      </c>
      <c r="AC30">
        <v>23000</v>
      </c>
      <c r="AD30">
        <v>0</v>
      </c>
      <c r="AE30" t="s">
        <v>101</v>
      </c>
      <c r="AF30" t="s">
        <v>158</v>
      </c>
      <c r="AG30" t="s">
        <v>159</v>
      </c>
      <c r="AH30">
        <v>307.01938948042164</v>
      </c>
      <c r="AI30" t="s">
        <v>49</v>
      </c>
      <c r="AJ30" t="s">
        <v>104</v>
      </c>
      <c r="AK30">
        <v>399.53222524398132</v>
      </c>
      <c r="AL30">
        <v>1</v>
      </c>
      <c r="AM30" s="41" t="s">
        <v>160</v>
      </c>
    </row>
    <row r="31" spans="1:45">
      <c r="A31">
        <v>2610247870</v>
      </c>
      <c r="B31">
        <v>1144012100</v>
      </c>
      <c r="C31" t="s">
        <v>93</v>
      </c>
      <c r="D31" t="s">
        <v>0</v>
      </c>
      <c r="E31" t="s">
        <v>94</v>
      </c>
      <c r="F31" t="s">
        <v>95</v>
      </c>
      <c r="G31" t="s">
        <v>35</v>
      </c>
      <c r="H31">
        <v>18</v>
      </c>
      <c r="I31">
        <v>33000</v>
      </c>
      <c r="J31">
        <v>0</v>
      </c>
      <c r="K31" t="s">
        <v>191</v>
      </c>
      <c r="L31">
        <v>184</v>
      </c>
      <c r="M31">
        <v>55</v>
      </c>
      <c r="N31">
        <v>600</v>
      </c>
      <c r="O31">
        <v>81.06</v>
      </c>
      <c r="P31">
        <v>24</v>
      </c>
      <c r="Q31">
        <v>1375</v>
      </c>
      <c r="R31" t="s">
        <v>121</v>
      </c>
      <c r="S31" s="40">
        <v>46077</v>
      </c>
      <c r="T31">
        <v>37.556083999999998</v>
      </c>
      <c r="U31">
        <v>126.923455</v>
      </c>
      <c r="V31" t="s">
        <v>424</v>
      </c>
      <c r="W31" t="s">
        <v>425</v>
      </c>
      <c r="X31">
        <v>1</v>
      </c>
      <c r="Y31">
        <v>0</v>
      </c>
      <c r="Z31">
        <v>0</v>
      </c>
      <c r="AA31" t="s">
        <v>113</v>
      </c>
      <c r="AB31" t="s">
        <v>308</v>
      </c>
      <c r="AC31">
        <v>33000</v>
      </c>
      <c r="AD31">
        <v>0</v>
      </c>
      <c r="AE31" t="s">
        <v>101</v>
      </c>
      <c r="AF31" t="s">
        <v>165</v>
      </c>
      <c r="AG31" t="s">
        <v>166</v>
      </c>
      <c r="AH31">
        <v>93.029525670005455</v>
      </c>
      <c r="AI31" t="s">
        <v>47</v>
      </c>
      <c r="AJ31" t="s">
        <v>104</v>
      </c>
      <c r="AK31">
        <v>837.53034349574909</v>
      </c>
      <c r="AL31" t="s">
        <v>105</v>
      </c>
      <c r="AM31" s="41" t="s">
        <v>426</v>
      </c>
      <c r="AN31">
        <f t="shared" ref="AN31:AN32" si="10">IFERROR(VALUE(LEFT($W31,FIND("년",$W31)-1)),"")</f>
        <v>25</v>
      </c>
      <c r="AO31" t="str">
        <f t="shared" ref="AO31:AO32" si="11">IFERROR(IF(FIND("년",$W31)=3,MID($W31,FIND("년",$W31)+1,FIND("년",$W31)-1),MID($W31,FIND("년",$W31)+1,FIND("년",$W31))),"")</f>
        <v>이상</v>
      </c>
      <c r="AP31">
        <f t="shared" ref="AP31:AP32" si="12">IFERROR(IF($AN31&lt;11,10,IF(AND($AN31&lt;26,$AO31="이내"),25,26)),"")</f>
        <v>26</v>
      </c>
      <c r="AQ31">
        <f t="shared" ref="AQ31:AQ32" si="13">IFERROR(IF($P31&lt;10,9,IF($P31&lt;20,10,IF($P31&lt;30,20,IF($P31&lt;40,30,40)))),"")</f>
        <v>20</v>
      </c>
      <c r="AR31" t="str">
        <f t="shared" ref="AR31:AR32" si="14">IFERROR(IF($D31="상가",IF($G31="1","1층",IF($G31="전체층","전체층",IF(LEFT($G31,1)="B","B1",IF($G31&lt;6,"저",IF($G31/$H31&lt;=$BC$9,"저",IF($G31/$H31&lt;=$BC$10,"중","고")))))),IF(LEFT($G31,1)="B","B1",IF($H31&lt;6,"저",IF($G31/$H31&lt;=$BC$2,"저",IF($G31/$H31&lt;=$BC$3,"중","고"))))),"")</f>
        <v>B1</v>
      </c>
      <c r="AS31">
        <f>IFERROR(ACOS(SIN(RADIANS(거래사례!$S$11))*SIN(RADIANS($T31))+COS(RADIANS(거래사례!$S$11))*COS(RADIANS($T31))*COS(RADIANS($U31-거래사례!$P$11)))*6371000,"")</f>
        <v>651.4235742815664</v>
      </c>
    </row>
    <row r="32" spans="1:45">
      <c r="A32">
        <v>2608659566</v>
      </c>
      <c r="B32">
        <v>1144012100</v>
      </c>
      <c r="C32" t="s">
        <v>93</v>
      </c>
      <c r="D32" t="s">
        <v>0</v>
      </c>
      <c r="E32" t="s">
        <v>94</v>
      </c>
      <c r="F32" t="s">
        <v>95</v>
      </c>
      <c r="G32" t="s">
        <v>35</v>
      </c>
      <c r="H32">
        <v>18</v>
      </c>
      <c r="I32">
        <v>33000</v>
      </c>
      <c r="J32">
        <v>0</v>
      </c>
      <c r="K32" t="s">
        <v>191</v>
      </c>
      <c r="L32">
        <v>184</v>
      </c>
      <c r="M32">
        <v>55</v>
      </c>
      <c r="N32">
        <v>600</v>
      </c>
      <c r="O32">
        <v>81</v>
      </c>
      <c r="P32">
        <v>24</v>
      </c>
      <c r="Q32">
        <v>1375</v>
      </c>
      <c r="R32" t="s">
        <v>121</v>
      </c>
      <c r="S32" s="40">
        <v>46066</v>
      </c>
      <c r="T32">
        <v>37.556083999999998</v>
      </c>
      <c r="U32">
        <v>126.923455</v>
      </c>
      <c r="V32" t="s">
        <v>427</v>
      </c>
      <c r="W32" t="s">
        <v>428</v>
      </c>
      <c r="X32">
        <v>1</v>
      </c>
      <c r="Y32">
        <v>0</v>
      </c>
      <c r="Z32">
        <v>0</v>
      </c>
      <c r="AA32" t="s">
        <v>113</v>
      </c>
      <c r="AB32" t="s">
        <v>429</v>
      </c>
      <c r="AC32">
        <v>33000</v>
      </c>
      <c r="AD32">
        <v>0</v>
      </c>
      <c r="AE32" t="s">
        <v>101</v>
      </c>
      <c r="AF32" t="s">
        <v>165</v>
      </c>
      <c r="AG32" t="s">
        <v>166</v>
      </c>
      <c r="AH32">
        <v>93.029525670005455</v>
      </c>
      <c r="AI32" t="s">
        <v>47</v>
      </c>
      <c r="AJ32" t="s">
        <v>104</v>
      </c>
      <c r="AK32">
        <v>837.53034349574909</v>
      </c>
      <c r="AL32" t="s">
        <v>105</v>
      </c>
      <c r="AM32" s="41" t="s">
        <v>426</v>
      </c>
      <c r="AN32">
        <f t="shared" si="10"/>
        <v>25</v>
      </c>
      <c r="AO32" t="str">
        <f t="shared" si="11"/>
        <v>이상</v>
      </c>
      <c r="AP32">
        <f t="shared" si="12"/>
        <v>26</v>
      </c>
      <c r="AQ32">
        <f t="shared" si="13"/>
        <v>20</v>
      </c>
      <c r="AR32" t="str">
        <f t="shared" si="14"/>
        <v>B1</v>
      </c>
      <c r="AS32">
        <f>IFERROR(ACOS(SIN(RADIANS(거래사례!$S$11))*SIN(RADIANS($T32))+COS(RADIANS(거래사례!$S$11))*COS(RADIANS($T32))*COS(RADIANS($U32-거래사례!$P$11)))*6371000,"")</f>
        <v>651.4235742815664</v>
      </c>
    </row>
    <row r="33" spans="1:45" hidden="1">
      <c r="A33">
        <v>2610174211</v>
      </c>
      <c r="B33">
        <v>1144012200</v>
      </c>
      <c r="C33" t="s">
        <v>134</v>
      </c>
      <c r="D33" t="s">
        <v>0</v>
      </c>
      <c r="E33" t="s">
        <v>94</v>
      </c>
      <c r="F33" t="s">
        <v>95</v>
      </c>
      <c r="G33">
        <v>1</v>
      </c>
      <c r="H33">
        <v>36</v>
      </c>
      <c r="I33">
        <v>84000</v>
      </c>
      <c r="J33">
        <v>0</v>
      </c>
      <c r="K33" t="s">
        <v>249</v>
      </c>
      <c r="L33">
        <v>183</v>
      </c>
      <c r="M33">
        <v>55</v>
      </c>
      <c r="N33">
        <v>1527</v>
      </c>
      <c r="O33">
        <v>60.83</v>
      </c>
      <c r="P33">
        <v>18</v>
      </c>
      <c r="Q33">
        <v>4667</v>
      </c>
      <c r="R33" t="s">
        <v>161</v>
      </c>
      <c r="S33" s="40">
        <v>46076</v>
      </c>
      <c r="T33">
        <v>37.551057</v>
      </c>
      <c r="U33">
        <v>126.911867</v>
      </c>
      <c r="V33" t="s">
        <v>250</v>
      </c>
      <c r="W33" t="s">
        <v>251</v>
      </c>
      <c r="X33">
        <v>1</v>
      </c>
      <c r="Y33">
        <v>0</v>
      </c>
      <c r="Z33">
        <v>0</v>
      </c>
      <c r="AA33" t="s">
        <v>139</v>
      </c>
      <c r="AB33" t="s">
        <v>140</v>
      </c>
      <c r="AC33">
        <v>84000</v>
      </c>
      <c r="AD33">
        <v>0</v>
      </c>
      <c r="AE33" t="s">
        <v>101</v>
      </c>
      <c r="AF33" t="s">
        <v>115</v>
      </c>
      <c r="AG33" t="s">
        <v>116</v>
      </c>
      <c r="AH33">
        <v>248.53865605694642</v>
      </c>
      <c r="AI33" t="s">
        <v>47</v>
      </c>
      <c r="AJ33" t="s">
        <v>104</v>
      </c>
      <c r="AK33">
        <v>742.41426284908061</v>
      </c>
      <c r="AL33" t="s">
        <v>105</v>
      </c>
      <c r="AM33" s="41" t="s">
        <v>150</v>
      </c>
    </row>
    <row r="34" spans="1:45">
      <c r="A34">
        <v>2606569693</v>
      </c>
      <c r="B34">
        <v>1144012100</v>
      </c>
      <c r="C34" t="s">
        <v>93</v>
      </c>
      <c r="D34" t="s">
        <v>0</v>
      </c>
      <c r="E34" t="s">
        <v>94</v>
      </c>
      <c r="F34" t="s">
        <v>95</v>
      </c>
      <c r="G34" t="s">
        <v>35</v>
      </c>
      <c r="H34">
        <v>18</v>
      </c>
      <c r="I34">
        <v>33000</v>
      </c>
      <c r="J34">
        <v>0</v>
      </c>
      <c r="K34" t="s">
        <v>191</v>
      </c>
      <c r="L34">
        <v>184</v>
      </c>
      <c r="M34">
        <v>55</v>
      </c>
      <c r="N34">
        <v>600</v>
      </c>
      <c r="O34">
        <v>81.06</v>
      </c>
      <c r="P34">
        <v>24</v>
      </c>
      <c r="Q34">
        <v>1375</v>
      </c>
      <c r="R34" t="s">
        <v>110</v>
      </c>
      <c r="S34" s="40">
        <v>46056</v>
      </c>
      <c r="T34">
        <v>37.556083999999998</v>
      </c>
      <c r="U34">
        <v>126.923455</v>
      </c>
      <c r="V34" t="s">
        <v>430</v>
      </c>
      <c r="W34" t="s">
        <v>431</v>
      </c>
      <c r="X34">
        <v>1</v>
      </c>
      <c r="Y34">
        <v>0</v>
      </c>
      <c r="Z34">
        <v>0</v>
      </c>
      <c r="AA34" t="s">
        <v>113</v>
      </c>
      <c r="AB34" t="s">
        <v>432</v>
      </c>
      <c r="AC34">
        <v>33000</v>
      </c>
      <c r="AD34">
        <v>0</v>
      </c>
      <c r="AE34" t="s">
        <v>101</v>
      </c>
      <c r="AF34" t="s">
        <v>165</v>
      </c>
      <c r="AG34" t="s">
        <v>166</v>
      </c>
      <c r="AH34">
        <v>93.029525670005455</v>
      </c>
      <c r="AI34" t="s">
        <v>47</v>
      </c>
      <c r="AJ34" t="s">
        <v>104</v>
      </c>
      <c r="AK34">
        <v>837.53034349574909</v>
      </c>
      <c r="AL34" t="s">
        <v>105</v>
      </c>
      <c r="AM34" s="41" t="s">
        <v>426</v>
      </c>
      <c r="AN34">
        <f>IFERROR(VALUE(LEFT($W34,FIND("년",$W34)-1)),"")</f>
        <v>25</v>
      </c>
      <c r="AO34" t="str">
        <f>IFERROR(IF(FIND("년",$W34)=3,MID($W34,FIND("년",$W34)+1,FIND("년",$W34)-1),MID($W34,FIND("년",$W34)+1,FIND("년",$W34))),"")</f>
        <v>이상</v>
      </c>
      <c r="AP34">
        <f>IFERROR(IF($AN34&lt;11,10,IF(AND($AN34&lt;26,$AO34="이내"),25,26)),"")</f>
        <v>26</v>
      </c>
      <c r="AQ34">
        <f>IFERROR(IF($P34&lt;10,9,IF($P34&lt;20,10,IF($P34&lt;30,20,IF($P34&lt;40,30,40)))),"")</f>
        <v>20</v>
      </c>
      <c r="AR34" t="str">
        <f>IFERROR(IF($D34="상가",IF($G34="1","1층",IF($G34="전체층","전체층",IF(LEFT($G34,1)="B","B1",IF($G34&lt;6,"저",IF($G34/$H34&lt;=$BC$9,"저",IF($G34/$H34&lt;=$BC$10,"중","고")))))),IF(LEFT($G34,1)="B","B1",IF($H34&lt;6,"저",IF($G34/$H34&lt;=$BC$2,"저",IF($G34/$H34&lt;=$BC$3,"중","고"))))),"")</f>
        <v>B1</v>
      </c>
      <c r="AS34">
        <f>IFERROR(ACOS(SIN(RADIANS(거래사례!$S$11))*SIN(RADIANS($T34))+COS(RADIANS(거래사례!$S$11))*COS(RADIANS($T34))*COS(RADIANS($U34-거래사례!$P$11)))*6371000,"")</f>
        <v>651.4235742815664</v>
      </c>
    </row>
    <row r="35" spans="1:45" hidden="1">
      <c r="A35">
        <v>2610174559</v>
      </c>
      <c r="B35">
        <v>1144012200</v>
      </c>
      <c r="C35" t="s">
        <v>134</v>
      </c>
      <c r="D35" t="s">
        <v>0</v>
      </c>
      <c r="E35" t="s">
        <v>94</v>
      </c>
      <c r="F35" t="s">
        <v>95</v>
      </c>
      <c r="G35">
        <v>1</v>
      </c>
      <c r="H35">
        <v>36</v>
      </c>
      <c r="I35">
        <v>53000</v>
      </c>
      <c r="J35">
        <v>0</v>
      </c>
      <c r="K35" t="s">
        <v>257</v>
      </c>
      <c r="L35">
        <v>112</v>
      </c>
      <c r="M35">
        <v>33</v>
      </c>
      <c r="N35">
        <v>1606</v>
      </c>
      <c r="O35">
        <v>37.26</v>
      </c>
      <c r="P35">
        <v>11</v>
      </c>
      <c r="Q35">
        <v>4818</v>
      </c>
      <c r="R35" t="s">
        <v>145</v>
      </c>
      <c r="S35" s="40">
        <v>46076</v>
      </c>
      <c r="T35">
        <v>37.551057</v>
      </c>
      <c r="U35">
        <v>126.911867</v>
      </c>
      <c r="V35" t="s">
        <v>258</v>
      </c>
      <c r="W35" t="s">
        <v>259</v>
      </c>
      <c r="X35">
        <v>1</v>
      </c>
      <c r="Y35">
        <v>0</v>
      </c>
      <c r="Z35">
        <v>0</v>
      </c>
      <c r="AA35" t="s">
        <v>139</v>
      </c>
      <c r="AB35" t="s">
        <v>140</v>
      </c>
      <c r="AC35">
        <v>53000</v>
      </c>
      <c r="AD35">
        <v>0</v>
      </c>
      <c r="AE35" t="s">
        <v>101</v>
      </c>
      <c r="AF35" t="s">
        <v>115</v>
      </c>
      <c r="AG35" t="s">
        <v>116</v>
      </c>
      <c r="AH35">
        <v>248.53865605694642</v>
      </c>
      <c r="AI35" t="s">
        <v>47</v>
      </c>
      <c r="AJ35" t="s">
        <v>104</v>
      </c>
      <c r="AK35">
        <v>742.41426284908061</v>
      </c>
      <c r="AL35" t="s">
        <v>105</v>
      </c>
      <c r="AM35" s="41" t="s">
        <v>150</v>
      </c>
    </row>
    <row r="36" spans="1:45" hidden="1">
      <c r="A36">
        <v>2610882783</v>
      </c>
      <c r="B36">
        <v>1144012000</v>
      </c>
      <c r="C36" t="s">
        <v>134</v>
      </c>
      <c r="D36" t="s">
        <v>0</v>
      </c>
      <c r="E36" t="s">
        <v>94</v>
      </c>
      <c r="F36" t="s">
        <v>135</v>
      </c>
      <c r="G36" t="s">
        <v>35</v>
      </c>
      <c r="H36">
        <v>19</v>
      </c>
      <c r="I36">
        <v>34000</v>
      </c>
      <c r="J36">
        <v>0</v>
      </c>
      <c r="K36" t="s">
        <v>179</v>
      </c>
      <c r="L36">
        <v>45</v>
      </c>
      <c r="M36">
        <v>13</v>
      </c>
      <c r="N36">
        <v>2615</v>
      </c>
      <c r="O36">
        <v>25.66</v>
      </c>
      <c r="P36">
        <v>7</v>
      </c>
      <c r="Q36">
        <v>4857</v>
      </c>
      <c r="R36" t="s">
        <v>161</v>
      </c>
      <c r="S36" s="40">
        <v>46079</v>
      </c>
      <c r="T36">
        <v>37.553798999999998</v>
      </c>
      <c r="U36">
        <v>126.92370099999999</v>
      </c>
      <c r="V36" t="s">
        <v>260</v>
      </c>
      <c r="W36" t="s">
        <v>261</v>
      </c>
      <c r="X36">
        <v>1</v>
      </c>
      <c r="Y36">
        <v>0</v>
      </c>
      <c r="Z36">
        <v>0</v>
      </c>
      <c r="AA36" t="s">
        <v>222</v>
      </c>
      <c r="AB36" t="s">
        <v>255</v>
      </c>
      <c r="AC36">
        <v>34000</v>
      </c>
      <c r="AD36">
        <v>0</v>
      </c>
      <c r="AE36" t="s">
        <v>101</v>
      </c>
      <c r="AF36" t="s">
        <v>165</v>
      </c>
      <c r="AG36" t="s">
        <v>166</v>
      </c>
      <c r="AH36">
        <v>344.14694489895248</v>
      </c>
      <c r="AI36" t="s">
        <v>47</v>
      </c>
      <c r="AJ36" t="s">
        <v>104</v>
      </c>
      <c r="AK36">
        <v>690.06417067304881</v>
      </c>
      <c r="AL36" t="s">
        <v>105</v>
      </c>
      <c r="AM36" s="41" t="s">
        <v>167</v>
      </c>
    </row>
    <row r="37" spans="1:45" hidden="1">
      <c r="A37">
        <v>2609957730</v>
      </c>
      <c r="B37">
        <v>1144012000</v>
      </c>
      <c r="C37" t="s">
        <v>93</v>
      </c>
      <c r="D37" t="s">
        <v>0</v>
      </c>
      <c r="E37" t="s">
        <v>94</v>
      </c>
      <c r="F37" t="s">
        <v>119</v>
      </c>
      <c r="G37" t="s">
        <v>35</v>
      </c>
      <c r="H37">
        <v>19</v>
      </c>
      <c r="I37">
        <v>34000</v>
      </c>
      <c r="J37">
        <v>0</v>
      </c>
      <c r="K37" t="s">
        <v>179</v>
      </c>
      <c r="L37">
        <v>45</v>
      </c>
      <c r="M37">
        <v>13</v>
      </c>
      <c r="N37">
        <v>2615</v>
      </c>
      <c r="O37">
        <v>25.66</v>
      </c>
      <c r="P37">
        <v>7</v>
      </c>
      <c r="Q37">
        <v>4857</v>
      </c>
      <c r="R37" t="s">
        <v>161</v>
      </c>
      <c r="S37" s="40">
        <v>46075</v>
      </c>
      <c r="T37">
        <v>37.553798999999998</v>
      </c>
      <c r="U37">
        <v>126.92370099999999</v>
      </c>
      <c r="V37" t="s">
        <v>262</v>
      </c>
      <c r="W37" t="s">
        <v>263</v>
      </c>
      <c r="X37">
        <v>1</v>
      </c>
      <c r="Y37">
        <v>0</v>
      </c>
      <c r="Z37">
        <v>0</v>
      </c>
      <c r="AA37" t="s">
        <v>124</v>
      </c>
      <c r="AB37" t="s">
        <v>264</v>
      </c>
      <c r="AC37">
        <v>34000</v>
      </c>
      <c r="AD37">
        <v>0</v>
      </c>
      <c r="AE37" t="s">
        <v>101</v>
      </c>
      <c r="AF37" t="s">
        <v>165</v>
      </c>
      <c r="AG37" t="s">
        <v>166</v>
      </c>
      <c r="AH37">
        <v>344.14694489895248</v>
      </c>
      <c r="AI37" t="s">
        <v>47</v>
      </c>
      <c r="AJ37" t="s">
        <v>104</v>
      </c>
      <c r="AK37">
        <v>690.06417067304881</v>
      </c>
      <c r="AL37" t="s">
        <v>105</v>
      </c>
      <c r="AM37" s="41" t="s">
        <v>167</v>
      </c>
    </row>
    <row r="38" spans="1:45">
      <c r="A38">
        <v>2609125362</v>
      </c>
      <c r="B38">
        <v>1144012400</v>
      </c>
      <c r="C38" t="s">
        <v>93</v>
      </c>
      <c r="D38" t="s">
        <v>0</v>
      </c>
      <c r="E38" t="s">
        <v>94</v>
      </c>
      <c r="F38" t="s">
        <v>95</v>
      </c>
      <c r="G38">
        <v>1</v>
      </c>
      <c r="H38">
        <v>5</v>
      </c>
      <c r="I38">
        <v>40000</v>
      </c>
      <c r="J38">
        <v>0</v>
      </c>
      <c r="K38" t="s">
        <v>444</v>
      </c>
      <c r="L38">
        <v>75</v>
      </c>
      <c r="M38">
        <v>22</v>
      </c>
      <c r="N38">
        <v>1818</v>
      </c>
      <c r="O38">
        <v>69</v>
      </c>
      <c r="P38">
        <v>20</v>
      </c>
      <c r="Q38">
        <v>2000</v>
      </c>
      <c r="S38" s="40">
        <v>46072</v>
      </c>
      <c r="T38">
        <v>37.560670999999999</v>
      </c>
      <c r="U38">
        <v>126.920041</v>
      </c>
      <c r="V38" t="s">
        <v>445</v>
      </c>
      <c r="W38" t="s">
        <v>446</v>
      </c>
      <c r="X38">
        <v>1</v>
      </c>
      <c r="Y38">
        <v>0</v>
      </c>
      <c r="Z38">
        <v>0</v>
      </c>
      <c r="AA38" t="s">
        <v>113</v>
      </c>
      <c r="AB38" t="s">
        <v>447</v>
      </c>
      <c r="AC38">
        <v>40000</v>
      </c>
      <c r="AD38">
        <v>0</v>
      </c>
      <c r="AE38" t="s">
        <v>101</v>
      </c>
      <c r="AF38" t="s">
        <v>165</v>
      </c>
      <c r="AG38" t="s">
        <v>166</v>
      </c>
      <c r="AH38">
        <v>556.55753158223922</v>
      </c>
      <c r="AI38" t="s">
        <v>47</v>
      </c>
      <c r="AJ38" t="s">
        <v>104</v>
      </c>
      <c r="AK38">
        <v>1154.1299540071852</v>
      </c>
      <c r="AL38" t="s">
        <v>105</v>
      </c>
      <c r="AM38" s="41" t="s">
        <v>448</v>
      </c>
      <c r="AN38">
        <f t="shared" ref="AN38:AN39" si="15">IFERROR(VALUE(LEFT($W38,FIND("년",$W38)-1)),"")</f>
        <v>25</v>
      </c>
      <c r="AO38" t="str">
        <f t="shared" ref="AO38:AO39" si="16">IFERROR(IF(FIND("년",$W38)=3,MID($W38,FIND("년",$W38)+1,FIND("년",$W38)-1),MID($W38,FIND("년",$W38)+1,FIND("년",$W38))),"")</f>
        <v>이내</v>
      </c>
      <c r="AP38">
        <f t="shared" ref="AP38:AP39" si="17">IFERROR(IF($AN38&lt;11,10,IF(AND($AN38&lt;26,$AO38="이내"),25,26)),"")</f>
        <v>25</v>
      </c>
      <c r="AQ38">
        <f t="shared" ref="AQ38:AQ39" si="18">IFERROR(IF($P38&lt;10,9,IF($P38&lt;20,10,IF($P38&lt;30,20,IF($P38&lt;40,30,40)))),"")</f>
        <v>20</v>
      </c>
      <c r="AR38" t="str">
        <f t="shared" ref="AR38:AR39" si="19">IFERROR(IF($D38="상가",IF($G38="1","1층",IF($G38="전체층","전체층",IF(LEFT($G38,1)="B","B1",IF($G38&lt;6,"저",IF($G38/$H38&lt;=$BC$9,"저",IF($G38/$H38&lt;=$BC$10,"중","고")))))),IF(LEFT($G38,1)="B","B1",IF($H38&lt;6,"저",IF($G38/$H38&lt;=$BC$2,"저",IF($G38/$H38&lt;=$BC$3,"중","고"))))),"")</f>
        <v>저</v>
      </c>
      <c r="AS38">
        <f>IFERROR(ACOS(SIN(RADIANS(거래사례!$S$11))*SIN(RADIANS($T38))+COS(RADIANS(거래사례!$S$11))*COS(RADIANS($T38))*COS(RADIANS($U38-거래사례!$P$11)))*6371000,"")</f>
        <v>810.22476570791753</v>
      </c>
    </row>
    <row r="39" spans="1:45">
      <c r="A39">
        <v>2609125362</v>
      </c>
      <c r="B39">
        <v>1144012400</v>
      </c>
      <c r="C39" t="s">
        <v>93</v>
      </c>
      <c r="D39" t="s">
        <v>0</v>
      </c>
      <c r="E39" t="s">
        <v>94</v>
      </c>
      <c r="F39" t="s">
        <v>95</v>
      </c>
      <c r="G39">
        <v>1</v>
      </c>
      <c r="H39">
        <v>5</v>
      </c>
      <c r="I39">
        <v>40000</v>
      </c>
      <c r="J39">
        <v>0</v>
      </c>
      <c r="K39" t="s">
        <v>444</v>
      </c>
      <c r="L39">
        <v>75</v>
      </c>
      <c r="M39">
        <v>22</v>
      </c>
      <c r="N39">
        <v>1818</v>
      </c>
      <c r="O39">
        <v>69</v>
      </c>
      <c r="P39">
        <v>20</v>
      </c>
      <c r="Q39">
        <v>2000</v>
      </c>
      <c r="S39" s="40">
        <v>46072</v>
      </c>
      <c r="T39">
        <v>37.560670999999999</v>
      </c>
      <c r="U39">
        <v>126.920041</v>
      </c>
      <c r="V39" t="s">
        <v>445</v>
      </c>
      <c r="W39" t="s">
        <v>446</v>
      </c>
      <c r="X39">
        <v>1</v>
      </c>
      <c r="Y39">
        <v>0</v>
      </c>
      <c r="Z39">
        <v>0</v>
      </c>
      <c r="AA39" t="s">
        <v>113</v>
      </c>
      <c r="AB39" t="s">
        <v>447</v>
      </c>
      <c r="AC39">
        <v>40000</v>
      </c>
      <c r="AD39">
        <v>0</v>
      </c>
      <c r="AE39" t="s">
        <v>101</v>
      </c>
      <c r="AF39" t="s">
        <v>165</v>
      </c>
      <c r="AG39" t="s">
        <v>166</v>
      </c>
      <c r="AH39">
        <v>556.55753158223922</v>
      </c>
      <c r="AI39" t="s">
        <v>47</v>
      </c>
      <c r="AJ39" t="s">
        <v>104</v>
      </c>
      <c r="AK39">
        <v>1154.1299540071852</v>
      </c>
      <c r="AL39" t="s">
        <v>105</v>
      </c>
      <c r="AM39" s="41" t="s">
        <v>448</v>
      </c>
      <c r="AN39">
        <f t="shared" si="15"/>
        <v>25</v>
      </c>
      <c r="AO39" t="str">
        <f t="shared" si="16"/>
        <v>이내</v>
      </c>
      <c r="AP39">
        <f t="shared" si="17"/>
        <v>25</v>
      </c>
      <c r="AQ39">
        <f t="shared" si="18"/>
        <v>20</v>
      </c>
      <c r="AR39" t="str">
        <f t="shared" si="19"/>
        <v>저</v>
      </c>
      <c r="AS39">
        <f>IFERROR(ACOS(SIN(RADIANS(거래사례!$S$11))*SIN(RADIANS($T39))+COS(RADIANS(거래사례!$S$11))*COS(RADIANS($T39))*COS(RADIANS($U39-거래사례!$P$11)))*6371000,"")</f>
        <v>810.22476570791753</v>
      </c>
    </row>
    <row r="40" spans="1:45" hidden="1">
      <c r="A40">
        <v>2611552775</v>
      </c>
      <c r="B40">
        <v>1144012000</v>
      </c>
      <c r="C40" t="s">
        <v>134</v>
      </c>
      <c r="D40" t="s">
        <v>0</v>
      </c>
      <c r="E40" t="s">
        <v>94</v>
      </c>
      <c r="F40" t="s">
        <v>108</v>
      </c>
      <c r="G40">
        <v>1</v>
      </c>
      <c r="H40">
        <v>2</v>
      </c>
      <c r="I40">
        <v>52000</v>
      </c>
      <c r="J40">
        <v>0</v>
      </c>
      <c r="K40" t="s">
        <v>273</v>
      </c>
      <c r="L40">
        <v>33</v>
      </c>
      <c r="M40">
        <v>9</v>
      </c>
      <c r="N40">
        <v>5777</v>
      </c>
      <c r="O40">
        <v>33.659999999999997</v>
      </c>
      <c r="P40">
        <v>10</v>
      </c>
      <c r="Q40">
        <v>5200</v>
      </c>
      <c r="R40" t="s">
        <v>161</v>
      </c>
      <c r="S40" s="40">
        <v>46084</v>
      </c>
      <c r="T40">
        <v>37.550941000000002</v>
      </c>
      <c r="U40">
        <v>126.913787</v>
      </c>
      <c r="V40" t="s">
        <v>274</v>
      </c>
      <c r="W40" t="s">
        <v>205</v>
      </c>
      <c r="X40">
        <v>1</v>
      </c>
      <c r="Y40">
        <v>0</v>
      </c>
      <c r="Z40">
        <v>0</v>
      </c>
      <c r="AA40" t="s">
        <v>139</v>
      </c>
      <c r="AB40" t="s">
        <v>206</v>
      </c>
      <c r="AC40">
        <v>52000</v>
      </c>
      <c r="AD40">
        <v>0</v>
      </c>
      <c r="AE40" t="s">
        <v>101</v>
      </c>
      <c r="AF40" t="s">
        <v>115</v>
      </c>
      <c r="AG40" t="s">
        <v>116</v>
      </c>
      <c r="AH40">
        <v>132.01770664783839</v>
      </c>
      <c r="AI40" t="s">
        <v>47</v>
      </c>
      <c r="AJ40" t="s">
        <v>104</v>
      </c>
      <c r="AK40">
        <v>528.48255152744889</v>
      </c>
      <c r="AL40">
        <v>1</v>
      </c>
      <c r="AM40" s="41" t="s">
        <v>178</v>
      </c>
    </row>
    <row r="41" spans="1:45">
      <c r="A41">
        <v>2609125362</v>
      </c>
      <c r="B41">
        <v>1144012400</v>
      </c>
      <c r="C41" t="s">
        <v>93</v>
      </c>
      <c r="D41" t="s">
        <v>0</v>
      </c>
      <c r="E41" t="s">
        <v>94</v>
      </c>
      <c r="F41" t="s">
        <v>95</v>
      </c>
      <c r="G41">
        <v>1</v>
      </c>
      <c r="H41">
        <v>5</v>
      </c>
      <c r="I41">
        <v>40000</v>
      </c>
      <c r="J41">
        <v>0</v>
      </c>
      <c r="K41" t="s">
        <v>444</v>
      </c>
      <c r="L41">
        <v>75</v>
      </c>
      <c r="M41">
        <v>22</v>
      </c>
      <c r="N41">
        <v>1818</v>
      </c>
      <c r="O41">
        <v>69</v>
      </c>
      <c r="P41">
        <v>20</v>
      </c>
      <c r="Q41">
        <v>2000</v>
      </c>
      <c r="S41" s="40">
        <v>46072</v>
      </c>
      <c r="T41">
        <v>37.560670999999999</v>
      </c>
      <c r="U41">
        <v>126.920041</v>
      </c>
      <c r="V41" t="s">
        <v>445</v>
      </c>
      <c r="W41" t="s">
        <v>446</v>
      </c>
      <c r="X41">
        <v>1</v>
      </c>
      <c r="Y41">
        <v>0</v>
      </c>
      <c r="Z41">
        <v>0</v>
      </c>
      <c r="AA41" t="s">
        <v>113</v>
      </c>
      <c r="AB41" t="s">
        <v>447</v>
      </c>
      <c r="AC41">
        <v>40000</v>
      </c>
      <c r="AD41">
        <v>0</v>
      </c>
      <c r="AE41" t="s">
        <v>101</v>
      </c>
      <c r="AF41" t="s">
        <v>165</v>
      </c>
      <c r="AG41" t="s">
        <v>166</v>
      </c>
      <c r="AH41">
        <v>556.55753158223922</v>
      </c>
      <c r="AI41" t="s">
        <v>47</v>
      </c>
      <c r="AJ41" t="s">
        <v>104</v>
      </c>
      <c r="AK41">
        <v>1154.1299540071852</v>
      </c>
      <c r="AL41" t="s">
        <v>105</v>
      </c>
      <c r="AM41" s="41" t="s">
        <v>448</v>
      </c>
      <c r="AN41">
        <f>IFERROR(VALUE(LEFT($W41,FIND("년",$W41)-1)),"")</f>
        <v>25</v>
      </c>
      <c r="AO41" t="str">
        <f>IFERROR(IF(FIND("년",$W41)=3,MID($W41,FIND("년",$W41)+1,FIND("년",$W41)-1),MID($W41,FIND("년",$W41)+1,FIND("년",$W41))),"")</f>
        <v>이내</v>
      </c>
      <c r="AP41">
        <f>IFERROR(IF($AN41&lt;11,10,IF(AND($AN41&lt;26,$AO41="이내"),25,26)),"")</f>
        <v>25</v>
      </c>
      <c r="AQ41">
        <f>IFERROR(IF($P41&lt;10,9,IF($P41&lt;20,10,IF($P41&lt;30,20,IF($P41&lt;40,30,40)))),"")</f>
        <v>20</v>
      </c>
      <c r="AR41" t="str">
        <f>IFERROR(IF($D41="상가",IF($G41="1","1층",IF($G41="전체층","전체층",IF(LEFT($G41,1)="B","B1",IF($G41&lt;6,"저",IF($G41/$H41&lt;=$BC$9,"저",IF($G41/$H41&lt;=$BC$10,"중","고")))))),IF(LEFT($G41,1)="B","B1",IF($H41&lt;6,"저",IF($G41/$H41&lt;=$BC$2,"저",IF($G41/$H41&lt;=$BC$3,"중","고"))))),"")</f>
        <v>저</v>
      </c>
      <c r="AS41">
        <f>IFERROR(ACOS(SIN(RADIANS(거래사례!$S$11))*SIN(RADIANS($T41))+COS(RADIANS(거래사례!$S$11))*COS(RADIANS($T41))*COS(RADIANS($U41-거래사례!$P$11)))*6371000,"")</f>
        <v>810.22476570791753</v>
      </c>
    </row>
    <row r="42" spans="1:45" hidden="1">
      <c r="A42">
        <v>2611405265</v>
      </c>
      <c r="B42">
        <v>1144012000</v>
      </c>
      <c r="C42" t="s">
        <v>134</v>
      </c>
      <c r="D42" t="s">
        <v>0</v>
      </c>
      <c r="E42" t="s">
        <v>94</v>
      </c>
      <c r="F42" t="s">
        <v>95</v>
      </c>
      <c r="G42">
        <v>1</v>
      </c>
      <c r="H42">
        <v>2</v>
      </c>
      <c r="I42">
        <v>100000</v>
      </c>
      <c r="J42">
        <v>0</v>
      </c>
      <c r="K42" t="s">
        <v>279</v>
      </c>
      <c r="L42">
        <v>141</v>
      </c>
      <c r="M42">
        <v>42</v>
      </c>
      <c r="N42">
        <v>2380</v>
      </c>
      <c r="O42">
        <v>63.6</v>
      </c>
      <c r="P42">
        <v>19</v>
      </c>
      <c r="Q42">
        <v>5263</v>
      </c>
      <c r="R42" t="s">
        <v>161</v>
      </c>
      <c r="S42" s="40">
        <v>46084</v>
      </c>
      <c r="T42">
        <v>37.550941000000002</v>
      </c>
      <c r="U42">
        <v>126.913787</v>
      </c>
      <c r="V42" t="s">
        <v>280</v>
      </c>
      <c r="W42" t="s">
        <v>281</v>
      </c>
      <c r="X42">
        <v>1</v>
      </c>
      <c r="Y42">
        <v>0</v>
      </c>
      <c r="Z42">
        <v>0</v>
      </c>
      <c r="AA42" t="s">
        <v>113</v>
      </c>
      <c r="AB42" t="s">
        <v>282</v>
      </c>
      <c r="AC42">
        <v>100000</v>
      </c>
      <c r="AD42">
        <v>0</v>
      </c>
      <c r="AE42" t="s">
        <v>101</v>
      </c>
      <c r="AF42" t="s">
        <v>115</v>
      </c>
      <c r="AG42" t="s">
        <v>116</v>
      </c>
      <c r="AH42">
        <v>132.01770664783839</v>
      </c>
      <c r="AI42" t="s">
        <v>47</v>
      </c>
      <c r="AJ42" t="s">
        <v>104</v>
      </c>
      <c r="AK42">
        <v>528.48255152744889</v>
      </c>
      <c r="AL42">
        <v>1</v>
      </c>
      <c r="AM42" s="41" t="s">
        <v>178</v>
      </c>
    </row>
    <row r="43" spans="1:45">
      <c r="A43">
        <v>2606558954</v>
      </c>
      <c r="B43">
        <v>1144012200</v>
      </c>
      <c r="C43" t="s">
        <v>93</v>
      </c>
      <c r="D43" t="s">
        <v>0</v>
      </c>
      <c r="E43" t="s">
        <v>94</v>
      </c>
      <c r="F43" t="s">
        <v>95</v>
      </c>
      <c r="G43">
        <v>3</v>
      </c>
      <c r="H43">
        <v>36</v>
      </c>
      <c r="I43">
        <v>150000</v>
      </c>
      <c r="J43">
        <v>0</v>
      </c>
      <c r="K43" t="s">
        <v>144</v>
      </c>
      <c r="L43">
        <v>213</v>
      </c>
      <c r="M43">
        <v>64</v>
      </c>
      <c r="N43">
        <v>2343</v>
      </c>
      <c r="O43">
        <v>213.92</v>
      </c>
      <c r="P43">
        <v>64</v>
      </c>
      <c r="Q43">
        <v>2344</v>
      </c>
      <c r="R43" t="s">
        <v>145</v>
      </c>
      <c r="S43" s="40">
        <v>46056</v>
      </c>
      <c r="T43">
        <v>37.551057</v>
      </c>
      <c r="U43">
        <v>126.911867</v>
      </c>
      <c r="V43" t="s">
        <v>146</v>
      </c>
      <c r="W43" t="s">
        <v>147</v>
      </c>
      <c r="X43">
        <v>1</v>
      </c>
      <c r="Y43">
        <v>0</v>
      </c>
      <c r="Z43">
        <v>0</v>
      </c>
      <c r="AA43" t="s">
        <v>148</v>
      </c>
      <c r="AB43" t="s">
        <v>149</v>
      </c>
      <c r="AC43">
        <v>150000</v>
      </c>
      <c r="AD43">
        <v>0</v>
      </c>
      <c r="AE43" t="s">
        <v>101</v>
      </c>
      <c r="AF43" t="s">
        <v>115</v>
      </c>
      <c r="AG43" t="s">
        <v>116</v>
      </c>
      <c r="AH43">
        <v>248.53865605694642</v>
      </c>
      <c r="AI43" t="s">
        <v>47</v>
      </c>
      <c r="AJ43" t="s">
        <v>104</v>
      </c>
      <c r="AK43">
        <v>742.41426284908061</v>
      </c>
      <c r="AL43" t="s">
        <v>105</v>
      </c>
      <c r="AM43" s="41" t="s">
        <v>150</v>
      </c>
      <c r="AN43">
        <f t="shared" ref="AN43:AN44" si="20">IFERROR(VALUE(LEFT($W43,FIND("년",$W43)-1)),"")</f>
        <v>10</v>
      </c>
      <c r="AO43" t="str">
        <f t="shared" ref="AO43:AO44" si="21">IFERROR(IF(FIND("년",$W43)=3,MID($W43,FIND("년",$W43)+1,FIND("년",$W43)-1),MID($W43,FIND("년",$W43)+1,FIND("년",$W43))),"")</f>
        <v>이내</v>
      </c>
      <c r="AP43">
        <f t="shared" ref="AP43:AP44" si="22">IFERROR(IF($AN43&lt;11,10,IF(AND($AN43&lt;26,$AO43="이내"),25,26)),"")</f>
        <v>10</v>
      </c>
      <c r="AQ43">
        <f t="shared" ref="AQ43:AQ44" si="23">IFERROR(IF($P43&lt;10,9,IF($P43&lt;20,10,IF($P43&lt;30,20,IF($P43&lt;40,30,40)))),"")</f>
        <v>40</v>
      </c>
      <c r="AR43" t="str">
        <f t="shared" ref="AR43:AR44" si="24">IFERROR(IF($D43="상가",IF($G43="1","1층",IF($G43="전체층","전체층",IF(LEFT($G43,1)="B","B1",IF($G43&lt;6,"저",IF($G43/$H43&lt;=$BC$9,"저",IF($G43/$H43&lt;=$BC$10,"중","고")))))),IF(LEFT($G43,1)="B","B1",IF($H43&lt;6,"저",IF($G43/$H43&lt;=$BC$2,"저",IF($G43/$H43&lt;=$BC$3,"중","고"))))),"")</f>
        <v>저</v>
      </c>
      <c r="AS43">
        <f>IFERROR(ACOS(SIN(RADIANS(거래사례!$S$11))*SIN(RADIANS($T43))+COS(RADIANS(거래사례!$S$11))*COS(RADIANS($T43))*COS(RADIANS($U43-거래사례!$P$11)))*6371000,"")</f>
        <v>1808.6065497056816</v>
      </c>
    </row>
    <row r="44" spans="1:45">
      <c r="A44">
        <v>2606558954</v>
      </c>
      <c r="B44">
        <v>1144012200</v>
      </c>
      <c r="C44" t="s">
        <v>93</v>
      </c>
      <c r="D44" t="s">
        <v>0</v>
      </c>
      <c r="E44" t="s">
        <v>94</v>
      </c>
      <c r="F44" t="s">
        <v>95</v>
      </c>
      <c r="G44">
        <v>3</v>
      </c>
      <c r="H44">
        <v>36</v>
      </c>
      <c r="I44">
        <v>150000</v>
      </c>
      <c r="J44">
        <v>0</v>
      </c>
      <c r="K44" t="s">
        <v>144</v>
      </c>
      <c r="L44">
        <v>213</v>
      </c>
      <c r="M44">
        <v>64</v>
      </c>
      <c r="N44">
        <v>2343</v>
      </c>
      <c r="O44">
        <v>213.92</v>
      </c>
      <c r="P44">
        <v>64</v>
      </c>
      <c r="Q44">
        <v>2344</v>
      </c>
      <c r="R44" t="s">
        <v>145</v>
      </c>
      <c r="S44" s="40">
        <v>46056</v>
      </c>
      <c r="T44">
        <v>37.551057</v>
      </c>
      <c r="U44">
        <v>126.911867</v>
      </c>
      <c r="V44" t="s">
        <v>146</v>
      </c>
      <c r="W44" t="s">
        <v>147</v>
      </c>
      <c r="X44">
        <v>1</v>
      </c>
      <c r="Y44">
        <v>0</v>
      </c>
      <c r="Z44">
        <v>0</v>
      </c>
      <c r="AA44" t="s">
        <v>148</v>
      </c>
      <c r="AB44" t="s">
        <v>149</v>
      </c>
      <c r="AC44">
        <v>150000</v>
      </c>
      <c r="AD44">
        <v>0</v>
      </c>
      <c r="AE44" t="s">
        <v>101</v>
      </c>
      <c r="AF44" t="s">
        <v>115</v>
      </c>
      <c r="AG44" t="s">
        <v>116</v>
      </c>
      <c r="AH44">
        <v>248.53865605694642</v>
      </c>
      <c r="AI44" t="s">
        <v>47</v>
      </c>
      <c r="AJ44" t="s">
        <v>104</v>
      </c>
      <c r="AK44">
        <v>742.41426284908061</v>
      </c>
      <c r="AL44" t="s">
        <v>105</v>
      </c>
      <c r="AM44" s="41" t="s">
        <v>150</v>
      </c>
      <c r="AN44">
        <f t="shared" si="20"/>
        <v>10</v>
      </c>
      <c r="AO44" t="str">
        <f t="shared" si="21"/>
        <v>이내</v>
      </c>
      <c r="AP44">
        <f t="shared" si="22"/>
        <v>10</v>
      </c>
      <c r="AQ44">
        <f t="shared" si="23"/>
        <v>40</v>
      </c>
      <c r="AR44" t="str">
        <f t="shared" si="24"/>
        <v>저</v>
      </c>
      <c r="AS44">
        <f>IFERROR(ACOS(SIN(RADIANS(거래사례!$S$11))*SIN(RADIANS($T44))+COS(RADIANS(거래사례!$S$11))*COS(RADIANS($T44))*COS(RADIANS($U44-거래사례!$P$11)))*6371000,"")</f>
        <v>1808.6065497056816</v>
      </c>
    </row>
    <row r="45" spans="1:45" hidden="1">
      <c r="A45">
        <v>2607747203</v>
      </c>
      <c r="B45">
        <v>1144012200</v>
      </c>
      <c r="C45" t="s">
        <v>93</v>
      </c>
      <c r="D45" t="s">
        <v>0</v>
      </c>
      <c r="E45" t="s">
        <v>94</v>
      </c>
      <c r="F45" t="s">
        <v>95</v>
      </c>
      <c r="G45">
        <v>1</v>
      </c>
      <c r="H45">
        <v>5</v>
      </c>
      <c r="I45">
        <v>32000</v>
      </c>
      <c r="J45">
        <v>0</v>
      </c>
      <c r="K45" t="s">
        <v>291</v>
      </c>
      <c r="L45">
        <v>21</v>
      </c>
      <c r="M45">
        <v>6</v>
      </c>
      <c r="N45">
        <v>5333</v>
      </c>
      <c r="O45">
        <v>21.06</v>
      </c>
      <c r="P45">
        <v>6</v>
      </c>
      <c r="Q45">
        <v>5333</v>
      </c>
      <c r="R45" t="s">
        <v>110</v>
      </c>
      <c r="S45" s="40">
        <v>46062</v>
      </c>
      <c r="T45">
        <v>37.549168999999999</v>
      </c>
      <c r="U45">
        <v>126.905908</v>
      </c>
      <c r="V45" t="s">
        <v>292</v>
      </c>
      <c r="W45" t="s">
        <v>293</v>
      </c>
      <c r="X45">
        <v>1</v>
      </c>
      <c r="Y45">
        <v>0</v>
      </c>
      <c r="Z45">
        <v>0</v>
      </c>
      <c r="AA45" t="s">
        <v>99</v>
      </c>
      <c r="AB45" t="s">
        <v>100</v>
      </c>
      <c r="AC45">
        <v>32000</v>
      </c>
      <c r="AD45">
        <v>0</v>
      </c>
      <c r="AE45" t="s">
        <v>101</v>
      </c>
      <c r="AF45" t="s">
        <v>115</v>
      </c>
      <c r="AG45" t="s">
        <v>116</v>
      </c>
      <c r="AH45">
        <v>810.78912701490015</v>
      </c>
      <c r="AI45" t="s">
        <v>47</v>
      </c>
      <c r="AJ45" t="s">
        <v>104</v>
      </c>
      <c r="AK45">
        <v>1409.2187893005098</v>
      </c>
      <c r="AL45" t="s">
        <v>105</v>
      </c>
      <c r="AM45" s="41" t="s">
        <v>294</v>
      </c>
    </row>
    <row r="46" spans="1:45">
      <c r="A46">
        <v>2607528423</v>
      </c>
      <c r="B46">
        <v>1144012200</v>
      </c>
      <c r="C46" t="s">
        <v>93</v>
      </c>
      <c r="D46" t="s">
        <v>0</v>
      </c>
      <c r="E46" t="s">
        <v>94</v>
      </c>
      <c r="F46" t="s">
        <v>135</v>
      </c>
      <c r="G46" t="s">
        <v>35</v>
      </c>
      <c r="H46">
        <v>20</v>
      </c>
      <c r="I46">
        <v>71000</v>
      </c>
      <c r="J46">
        <v>0</v>
      </c>
      <c r="K46" t="s">
        <v>151</v>
      </c>
      <c r="L46">
        <v>132</v>
      </c>
      <c r="M46">
        <v>39</v>
      </c>
      <c r="N46">
        <v>1820</v>
      </c>
      <c r="O46">
        <v>96.33</v>
      </c>
      <c r="P46">
        <v>29</v>
      </c>
      <c r="Q46">
        <v>2448</v>
      </c>
      <c r="R46" t="s">
        <v>136</v>
      </c>
      <c r="S46" s="40">
        <v>46060</v>
      </c>
      <c r="T46">
        <v>37.548791999999999</v>
      </c>
      <c r="U46">
        <v>126.910509</v>
      </c>
      <c r="V46" t="s">
        <v>152</v>
      </c>
      <c r="W46" t="s">
        <v>131</v>
      </c>
      <c r="X46">
        <v>1</v>
      </c>
      <c r="Y46">
        <v>0</v>
      </c>
      <c r="Z46">
        <v>0</v>
      </c>
      <c r="AA46" t="s">
        <v>99</v>
      </c>
      <c r="AB46" t="s">
        <v>100</v>
      </c>
      <c r="AC46">
        <v>71000</v>
      </c>
      <c r="AD46">
        <v>0</v>
      </c>
      <c r="AE46" t="s">
        <v>101</v>
      </c>
      <c r="AF46" t="s">
        <v>115</v>
      </c>
      <c r="AG46" t="s">
        <v>116</v>
      </c>
      <c r="AH46">
        <v>303.04210726050604</v>
      </c>
      <c r="AI46" t="s">
        <v>47</v>
      </c>
      <c r="AJ46" t="s">
        <v>104</v>
      </c>
      <c r="AK46">
        <v>908.37408156018273</v>
      </c>
      <c r="AL46" t="s">
        <v>105</v>
      </c>
      <c r="AM46" s="41" t="s">
        <v>133</v>
      </c>
      <c r="AN46">
        <f>IFERROR(VALUE(LEFT($W46,FIND("년",$W46)-1)),"")</f>
        <v>10</v>
      </c>
      <c r="AO46" t="str">
        <f>IFERROR(IF(FIND("년",$W46)=3,MID($W46,FIND("년",$W46)+1,FIND("년",$W46)-1),MID($W46,FIND("년",$W46)+1,FIND("년",$W46))),"")</f>
        <v>이내</v>
      </c>
      <c r="AP46">
        <f>IFERROR(IF($AN46&lt;11,10,IF(AND($AN46&lt;26,$AO46="이내"),25,26)),"")</f>
        <v>10</v>
      </c>
      <c r="AQ46">
        <f>IFERROR(IF($P46&lt;10,9,IF($P46&lt;20,10,IF($P46&lt;30,20,IF($P46&lt;40,30,40)))),"")</f>
        <v>20</v>
      </c>
      <c r="AR46" t="str">
        <f>IFERROR(IF($D46="상가",IF($G46="1","1층",IF($G46="전체층","전체층",IF(LEFT($G46,1)="B","B1",IF($G46&lt;6,"저",IF($G46/$H46&lt;=$BC$9,"저",IF($G46/$H46&lt;=$BC$10,"중","고")))))),IF(LEFT($G46,1)="B","B1",IF($H46&lt;6,"저",IF($G46/$H46&lt;=$BC$2,"저",IF($G46/$H46&lt;=$BC$3,"중","고"))))),"")</f>
        <v>B1</v>
      </c>
      <c r="AS46">
        <f>IFERROR(ACOS(SIN(RADIANS(거래사례!$S$11))*SIN(RADIANS($T46))+COS(RADIANS(거래사례!$S$11))*COS(RADIANS($T46))*COS(RADIANS($U46-거래사례!$P$11)))*6371000,"")</f>
        <v>2050.3113926303836</v>
      </c>
    </row>
    <row r="47" spans="1:45" hidden="1">
      <c r="A47">
        <v>2611049992</v>
      </c>
      <c r="B47">
        <v>1144012000</v>
      </c>
      <c r="C47" t="s">
        <v>93</v>
      </c>
      <c r="D47" t="s">
        <v>0</v>
      </c>
      <c r="E47" t="s">
        <v>94</v>
      </c>
      <c r="F47" t="s">
        <v>296</v>
      </c>
      <c r="G47">
        <v>1</v>
      </c>
      <c r="H47">
        <v>5</v>
      </c>
      <c r="I47">
        <v>65000</v>
      </c>
      <c r="J47">
        <v>0</v>
      </c>
      <c r="K47" t="s">
        <v>297</v>
      </c>
      <c r="L47">
        <v>42</v>
      </c>
      <c r="M47">
        <v>12</v>
      </c>
      <c r="N47">
        <v>5416</v>
      </c>
      <c r="O47">
        <v>42.54</v>
      </c>
      <c r="P47">
        <v>12</v>
      </c>
      <c r="Q47">
        <v>5417</v>
      </c>
      <c r="R47" t="s">
        <v>154</v>
      </c>
      <c r="S47" s="40">
        <v>46080</v>
      </c>
      <c r="T47">
        <v>37.553722999999998</v>
      </c>
      <c r="U47">
        <v>126.91492100000001</v>
      </c>
      <c r="W47" t="s">
        <v>298</v>
      </c>
      <c r="X47">
        <v>1</v>
      </c>
      <c r="Y47">
        <v>0</v>
      </c>
      <c r="Z47">
        <v>0</v>
      </c>
      <c r="AA47" t="s">
        <v>299</v>
      </c>
      <c r="AB47" t="s">
        <v>300</v>
      </c>
      <c r="AC47">
        <v>65000</v>
      </c>
      <c r="AD47">
        <v>0</v>
      </c>
      <c r="AE47" t="s">
        <v>101</v>
      </c>
      <c r="AF47" t="s">
        <v>115</v>
      </c>
      <c r="AG47" t="s">
        <v>116</v>
      </c>
      <c r="AH47">
        <v>402.84981129818027</v>
      </c>
      <c r="AI47" t="s">
        <v>47</v>
      </c>
      <c r="AJ47" t="s">
        <v>104</v>
      </c>
      <c r="AK47">
        <v>542.78084193298719</v>
      </c>
      <c r="AL47">
        <v>1</v>
      </c>
      <c r="AM47" s="41" t="s">
        <v>301</v>
      </c>
    </row>
    <row r="48" spans="1:45">
      <c r="A48">
        <v>2607528423</v>
      </c>
      <c r="B48">
        <v>1144012200</v>
      </c>
      <c r="C48" t="s">
        <v>93</v>
      </c>
      <c r="D48" t="s">
        <v>0</v>
      </c>
      <c r="E48" t="s">
        <v>94</v>
      </c>
      <c r="F48" t="s">
        <v>135</v>
      </c>
      <c r="G48" t="s">
        <v>35</v>
      </c>
      <c r="H48">
        <v>20</v>
      </c>
      <c r="I48">
        <v>71000</v>
      </c>
      <c r="J48">
        <v>0</v>
      </c>
      <c r="K48" t="s">
        <v>151</v>
      </c>
      <c r="L48">
        <v>132</v>
      </c>
      <c r="M48">
        <v>39</v>
      </c>
      <c r="N48">
        <v>1820</v>
      </c>
      <c r="O48">
        <v>96.33</v>
      </c>
      <c r="P48">
        <v>29</v>
      </c>
      <c r="Q48">
        <v>2448</v>
      </c>
      <c r="R48" t="s">
        <v>136</v>
      </c>
      <c r="S48" s="40">
        <v>46060</v>
      </c>
      <c r="T48">
        <v>37.548791999999999</v>
      </c>
      <c r="U48">
        <v>126.910509</v>
      </c>
      <c r="V48" t="s">
        <v>152</v>
      </c>
      <c r="W48" t="s">
        <v>131</v>
      </c>
      <c r="X48">
        <v>1</v>
      </c>
      <c r="Y48">
        <v>0</v>
      </c>
      <c r="Z48">
        <v>0</v>
      </c>
      <c r="AA48" t="s">
        <v>99</v>
      </c>
      <c r="AB48" t="s">
        <v>100</v>
      </c>
      <c r="AC48">
        <v>71000</v>
      </c>
      <c r="AD48">
        <v>0</v>
      </c>
      <c r="AE48" t="s">
        <v>101</v>
      </c>
      <c r="AF48" t="s">
        <v>115</v>
      </c>
      <c r="AG48" t="s">
        <v>116</v>
      </c>
      <c r="AH48">
        <v>303.04210726050604</v>
      </c>
      <c r="AI48" t="s">
        <v>47</v>
      </c>
      <c r="AJ48" t="s">
        <v>104</v>
      </c>
      <c r="AK48">
        <v>908.37408156018273</v>
      </c>
      <c r="AL48" t="s">
        <v>105</v>
      </c>
      <c r="AM48" s="41" t="s">
        <v>133</v>
      </c>
      <c r="AN48">
        <f>IFERROR(VALUE(LEFT($W48,FIND("년",$W48)-1)),"")</f>
        <v>10</v>
      </c>
      <c r="AO48" t="str">
        <f>IFERROR(IF(FIND("년",$W48)=3,MID($W48,FIND("년",$W48)+1,FIND("년",$W48)-1),MID($W48,FIND("년",$W48)+1,FIND("년",$W48))),"")</f>
        <v>이내</v>
      </c>
      <c r="AP48">
        <f>IFERROR(IF($AN48&lt;11,10,IF(AND($AN48&lt;26,$AO48="이내"),25,26)),"")</f>
        <v>10</v>
      </c>
      <c r="AQ48">
        <f>IFERROR(IF($P48&lt;10,9,IF($P48&lt;20,10,IF($P48&lt;30,20,IF($P48&lt;40,30,40)))),"")</f>
        <v>20</v>
      </c>
      <c r="AR48" t="str">
        <f>IFERROR(IF($D48="상가",IF($G48="1","1층",IF($G48="전체층","전체층",IF(LEFT($G48,1)="B","B1",IF($G48&lt;6,"저",IF($G48/$H48&lt;=$BC$9,"저",IF($G48/$H48&lt;=$BC$10,"중","고")))))),IF(LEFT($G48,1)="B","B1",IF($H48&lt;6,"저",IF($G48/$H48&lt;=$BC$2,"저",IF($G48/$H48&lt;=$BC$3,"중","고"))))),"")</f>
        <v>B1</v>
      </c>
      <c r="AS48">
        <f>IFERROR(ACOS(SIN(RADIANS(거래사례!$S$11))*SIN(RADIANS($T48))+COS(RADIANS(거래사례!$S$11))*COS(RADIANS($T48))*COS(RADIANS($U48-거래사례!$P$11)))*6371000,"")</f>
        <v>2050.3113926303836</v>
      </c>
    </row>
    <row r="49" spans="1:45" hidden="1">
      <c r="A49">
        <v>2610173593</v>
      </c>
      <c r="B49">
        <v>1144012200</v>
      </c>
      <c r="C49" t="s">
        <v>134</v>
      </c>
      <c r="D49" t="s">
        <v>0</v>
      </c>
      <c r="E49" t="s">
        <v>94</v>
      </c>
      <c r="F49" t="s">
        <v>135</v>
      </c>
      <c r="G49">
        <v>1</v>
      </c>
      <c r="H49">
        <v>36</v>
      </c>
      <c r="I49">
        <v>85000</v>
      </c>
      <c r="J49">
        <v>0</v>
      </c>
      <c r="K49" t="s">
        <v>304</v>
      </c>
      <c r="L49">
        <v>153</v>
      </c>
      <c r="M49">
        <v>46</v>
      </c>
      <c r="N49">
        <v>1847</v>
      </c>
      <c r="O49">
        <v>51.05</v>
      </c>
      <c r="P49">
        <v>15</v>
      </c>
      <c r="Q49">
        <v>5667</v>
      </c>
      <c r="R49" t="s">
        <v>154</v>
      </c>
      <c r="S49" s="40">
        <v>46076</v>
      </c>
      <c r="T49">
        <v>37.551057</v>
      </c>
      <c r="U49">
        <v>126.911867</v>
      </c>
      <c r="V49" t="s">
        <v>305</v>
      </c>
      <c r="W49" t="s">
        <v>259</v>
      </c>
      <c r="X49">
        <v>1</v>
      </c>
      <c r="Y49">
        <v>0</v>
      </c>
      <c r="Z49">
        <v>0</v>
      </c>
      <c r="AA49" t="s">
        <v>139</v>
      </c>
      <c r="AB49" t="s">
        <v>140</v>
      </c>
      <c r="AC49">
        <v>85000</v>
      </c>
      <c r="AD49">
        <v>0</v>
      </c>
      <c r="AE49" t="s">
        <v>101</v>
      </c>
      <c r="AF49" t="s">
        <v>115</v>
      </c>
      <c r="AG49" t="s">
        <v>116</v>
      </c>
      <c r="AH49">
        <v>248.53865605694642</v>
      </c>
      <c r="AI49" t="s">
        <v>47</v>
      </c>
      <c r="AJ49" t="s">
        <v>104</v>
      </c>
      <c r="AK49">
        <v>742.41426284908061</v>
      </c>
      <c r="AL49" t="s">
        <v>105</v>
      </c>
      <c r="AM49" s="41" t="s">
        <v>150</v>
      </c>
    </row>
    <row r="50" spans="1:45" hidden="1">
      <c r="A50">
        <v>2609272288</v>
      </c>
      <c r="B50">
        <v>1144012200</v>
      </c>
      <c r="C50" t="s">
        <v>134</v>
      </c>
      <c r="D50" t="s">
        <v>0</v>
      </c>
      <c r="E50" t="s">
        <v>94</v>
      </c>
      <c r="F50" t="s">
        <v>95</v>
      </c>
      <c r="G50">
        <v>1</v>
      </c>
      <c r="H50">
        <v>36</v>
      </c>
      <c r="I50">
        <v>52000</v>
      </c>
      <c r="J50">
        <v>0</v>
      </c>
      <c r="K50" t="s">
        <v>273</v>
      </c>
      <c r="L50">
        <v>90</v>
      </c>
      <c r="M50">
        <v>27</v>
      </c>
      <c r="N50">
        <v>1925</v>
      </c>
      <c r="O50">
        <v>30.14</v>
      </c>
      <c r="P50">
        <v>9</v>
      </c>
      <c r="Q50">
        <v>5778</v>
      </c>
      <c r="S50" s="40">
        <v>46072</v>
      </c>
      <c r="T50">
        <v>37.551057</v>
      </c>
      <c r="U50">
        <v>126.911867</v>
      </c>
      <c r="V50" t="s">
        <v>306</v>
      </c>
      <c r="W50" t="s">
        <v>307</v>
      </c>
      <c r="X50">
        <v>1</v>
      </c>
      <c r="Y50">
        <v>0</v>
      </c>
      <c r="Z50">
        <v>0</v>
      </c>
      <c r="AA50" t="s">
        <v>113</v>
      </c>
      <c r="AB50" t="s">
        <v>308</v>
      </c>
      <c r="AC50">
        <v>52000</v>
      </c>
      <c r="AD50">
        <v>0</v>
      </c>
      <c r="AE50" t="s">
        <v>101</v>
      </c>
      <c r="AF50" t="s">
        <v>115</v>
      </c>
      <c r="AG50" t="s">
        <v>116</v>
      </c>
      <c r="AH50">
        <v>248.53865605694642</v>
      </c>
      <c r="AI50" t="s">
        <v>47</v>
      </c>
      <c r="AJ50" t="s">
        <v>104</v>
      </c>
      <c r="AK50">
        <v>742.41426284908061</v>
      </c>
      <c r="AL50" t="s">
        <v>105</v>
      </c>
      <c r="AM50" s="41" t="s">
        <v>150</v>
      </c>
    </row>
    <row r="51" spans="1:45">
      <c r="A51">
        <v>2610063145</v>
      </c>
      <c r="B51">
        <v>1141011600</v>
      </c>
      <c r="C51" t="s">
        <v>93</v>
      </c>
      <c r="D51" t="s">
        <v>0</v>
      </c>
      <c r="E51" t="s">
        <v>94</v>
      </c>
      <c r="F51" t="s">
        <v>95</v>
      </c>
      <c r="G51">
        <v>4</v>
      </c>
      <c r="H51">
        <v>10</v>
      </c>
      <c r="I51">
        <v>180000</v>
      </c>
      <c r="J51">
        <v>0</v>
      </c>
      <c r="K51" t="s">
        <v>457</v>
      </c>
      <c r="L51">
        <v>239</v>
      </c>
      <c r="M51">
        <v>72</v>
      </c>
      <c r="N51">
        <v>2500</v>
      </c>
      <c r="O51">
        <v>239.14</v>
      </c>
      <c r="P51">
        <v>72</v>
      </c>
      <c r="Q51">
        <v>2500</v>
      </c>
      <c r="R51" t="s">
        <v>154</v>
      </c>
      <c r="S51" s="40">
        <v>46076</v>
      </c>
      <c r="T51">
        <v>37.561225</v>
      </c>
      <c r="U51">
        <v>126.927279</v>
      </c>
      <c r="V51" t="s">
        <v>458</v>
      </c>
      <c r="W51" t="s">
        <v>459</v>
      </c>
      <c r="X51">
        <v>1</v>
      </c>
      <c r="Y51">
        <v>0</v>
      </c>
      <c r="Z51">
        <v>0</v>
      </c>
      <c r="AA51" t="s">
        <v>139</v>
      </c>
      <c r="AB51" t="s">
        <v>460</v>
      </c>
      <c r="AC51">
        <v>180000</v>
      </c>
      <c r="AD51">
        <v>0</v>
      </c>
      <c r="AE51" t="s">
        <v>101</v>
      </c>
      <c r="AF51" t="s">
        <v>165</v>
      </c>
      <c r="AG51" t="s">
        <v>166</v>
      </c>
      <c r="AH51">
        <v>334.83971178054475</v>
      </c>
      <c r="AI51" t="s">
        <v>47</v>
      </c>
      <c r="AJ51" t="s">
        <v>104</v>
      </c>
      <c r="AK51">
        <v>913.67637518520098</v>
      </c>
      <c r="AL51" t="s">
        <v>105</v>
      </c>
      <c r="AM51" s="41" t="s">
        <v>461</v>
      </c>
      <c r="AN51">
        <f t="shared" ref="AN51:AN55" si="25">IFERROR(VALUE(LEFT($W51,FIND("년",$W51)-1)),"")</f>
        <v>25</v>
      </c>
      <c r="AO51" t="str">
        <f t="shared" ref="AO51:AO55" si="26">IFERROR(IF(FIND("년",$W51)=3,MID($W51,FIND("년",$W51)+1,FIND("년",$W51)-1),MID($W51,FIND("년",$W51)+1,FIND("년",$W51))),"")</f>
        <v>이내</v>
      </c>
      <c r="AP51">
        <f t="shared" ref="AP51:AP55" si="27">IFERROR(IF($AN51&lt;11,10,IF(AND($AN51&lt;26,$AO51="이내"),25,26)),"")</f>
        <v>25</v>
      </c>
      <c r="AQ51">
        <f t="shared" ref="AQ51:AQ55" si="28">IFERROR(IF($P51&lt;10,9,IF($P51&lt;20,10,IF($P51&lt;30,20,IF($P51&lt;40,30,40)))),"")</f>
        <v>40</v>
      </c>
      <c r="AR51" t="str">
        <f t="shared" ref="AR51:AR55" si="29">IFERROR(IF($D51="상가",IF($G51="1","1층",IF($G51="전체층","전체층",IF(LEFT($G51,1)="B","B1",IF($G51&lt;6,"저",IF($G51/$H51&lt;=$BC$9,"저",IF($G51/$H51&lt;=$BC$10,"중","고")))))),IF(LEFT($G51,1)="B","B1",IF($H51&lt;6,"저",IF($G51/$H51&lt;=$BC$2,"저",IF($G51/$H51&lt;=$BC$3,"중","고"))))),"")</f>
        <v>저</v>
      </c>
      <c r="AS51">
        <f>IFERROR(ACOS(SIN(RADIANS(거래사례!$S$11))*SIN(RADIANS($T51))+COS(RADIANS(거래사례!$S$11))*COS(RADIANS($T51))*COS(RADIANS($U51-거래사례!$P$11)))*6371000,"")</f>
        <v>229.72003914081495</v>
      </c>
    </row>
    <row r="52" spans="1:45">
      <c r="A52">
        <v>2610063145</v>
      </c>
      <c r="B52">
        <v>1141011600</v>
      </c>
      <c r="C52" t="s">
        <v>93</v>
      </c>
      <c r="D52" t="s">
        <v>0</v>
      </c>
      <c r="E52" t="s">
        <v>94</v>
      </c>
      <c r="F52" t="s">
        <v>95</v>
      </c>
      <c r="G52">
        <v>4</v>
      </c>
      <c r="H52">
        <v>10</v>
      </c>
      <c r="I52">
        <v>180000</v>
      </c>
      <c r="J52">
        <v>0</v>
      </c>
      <c r="K52" t="s">
        <v>457</v>
      </c>
      <c r="L52">
        <v>239</v>
      </c>
      <c r="M52">
        <v>72</v>
      </c>
      <c r="N52">
        <v>2500</v>
      </c>
      <c r="O52">
        <v>239.14</v>
      </c>
      <c r="P52">
        <v>72</v>
      </c>
      <c r="Q52">
        <v>2500</v>
      </c>
      <c r="R52" t="s">
        <v>154</v>
      </c>
      <c r="S52" s="40">
        <v>46076</v>
      </c>
      <c r="T52">
        <v>37.561225</v>
      </c>
      <c r="U52">
        <v>126.927279</v>
      </c>
      <c r="V52" t="s">
        <v>458</v>
      </c>
      <c r="W52" t="s">
        <v>459</v>
      </c>
      <c r="X52">
        <v>1</v>
      </c>
      <c r="Y52">
        <v>0</v>
      </c>
      <c r="Z52">
        <v>0</v>
      </c>
      <c r="AA52" t="s">
        <v>139</v>
      </c>
      <c r="AB52" t="s">
        <v>460</v>
      </c>
      <c r="AC52">
        <v>180000</v>
      </c>
      <c r="AD52">
        <v>0</v>
      </c>
      <c r="AE52" t="s">
        <v>101</v>
      </c>
      <c r="AF52" t="s">
        <v>165</v>
      </c>
      <c r="AG52" t="s">
        <v>166</v>
      </c>
      <c r="AH52">
        <v>334.83971178054475</v>
      </c>
      <c r="AI52" t="s">
        <v>47</v>
      </c>
      <c r="AJ52" t="s">
        <v>104</v>
      </c>
      <c r="AK52">
        <v>913.67637518520098</v>
      </c>
      <c r="AL52" t="s">
        <v>105</v>
      </c>
      <c r="AM52" s="41" t="s">
        <v>461</v>
      </c>
      <c r="AN52">
        <f t="shared" si="25"/>
        <v>25</v>
      </c>
      <c r="AO52" t="str">
        <f t="shared" si="26"/>
        <v>이내</v>
      </c>
      <c r="AP52">
        <f t="shared" si="27"/>
        <v>25</v>
      </c>
      <c r="AQ52">
        <f t="shared" si="28"/>
        <v>40</v>
      </c>
      <c r="AR52" t="str">
        <f t="shared" si="29"/>
        <v>저</v>
      </c>
      <c r="AS52">
        <f>IFERROR(ACOS(SIN(RADIANS(거래사례!$S$11))*SIN(RADIANS($T52))+COS(RADIANS(거래사례!$S$11))*COS(RADIANS($T52))*COS(RADIANS($U52-거래사례!$P$11)))*6371000,"")</f>
        <v>229.72003914081495</v>
      </c>
    </row>
    <row r="53" spans="1:45">
      <c r="A53">
        <v>2610063145</v>
      </c>
      <c r="B53">
        <v>1141011600</v>
      </c>
      <c r="C53" t="s">
        <v>93</v>
      </c>
      <c r="D53" t="s">
        <v>0</v>
      </c>
      <c r="E53" t="s">
        <v>94</v>
      </c>
      <c r="F53" t="s">
        <v>95</v>
      </c>
      <c r="G53">
        <v>4</v>
      </c>
      <c r="H53">
        <v>10</v>
      </c>
      <c r="I53">
        <v>180000</v>
      </c>
      <c r="J53">
        <v>0</v>
      </c>
      <c r="K53" t="s">
        <v>457</v>
      </c>
      <c r="L53">
        <v>239</v>
      </c>
      <c r="M53">
        <v>72</v>
      </c>
      <c r="N53">
        <v>2500</v>
      </c>
      <c r="O53">
        <v>239.14</v>
      </c>
      <c r="P53">
        <v>72</v>
      </c>
      <c r="Q53">
        <v>2500</v>
      </c>
      <c r="R53" t="s">
        <v>154</v>
      </c>
      <c r="S53" s="40">
        <v>46076</v>
      </c>
      <c r="T53">
        <v>37.561225</v>
      </c>
      <c r="U53">
        <v>126.927279</v>
      </c>
      <c r="V53" t="s">
        <v>458</v>
      </c>
      <c r="W53" t="s">
        <v>459</v>
      </c>
      <c r="X53">
        <v>1</v>
      </c>
      <c r="Y53">
        <v>0</v>
      </c>
      <c r="Z53">
        <v>0</v>
      </c>
      <c r="AA53" t="s">
        <v>139</v>
      </c>
      <c r="AB53" t="s">
        <v>460</v>
      </c>
      <c r="AC53">
        <v>180000</v>
      </c>
      <c r="AD53">
        <v>0</v>
      </c>
      <c r="AE53" t="s">
        <v>101</v>
      </c>
      <c r="AF53" t="s">
        <v>165</v>
      </c>
      <c r="AG53" t="s">
        <v>166</v>
      </c>
      <c r="AH53">
        <v>334.83971178054475</v>
      </c>
      <c r="AI53" t="s">
        <v>47</v>
      </c>
      <c r="AJ53" t="s">
        <v>104</v>
      </c>
      <c r="AK53">
        <v>913.67637518520098</v>
      </c>
      <c r="AL53" t="s">
        <v>105</v>
      </c>
      <c r="AM53" s="41" t="s">
        <v>461</v>
      </c>
      <c r="AN53">
        <f t="shared" si="25"/>
        <v>25</v>
      </c>
      <c r="AO53" t="str">
        <f t="shared" si="26"/>
        <v>이내</v>
      </c>
      <c r="AP53">
        <f t="shared" si="27"/>
        <v>25</v>
      </c>
      <c r="AQ53">
        <f t="shared" si="28"/>
        <v>40</v>
      </c>
      <c r="AR53" t="str">
        <f t="shared" si="29"/>
        <v>저</v>
      </c>
      <c r="AS53">
        <f>IFERROR(ACOS(SIN(RADIANS(거래사례!$S$11))*SIN(RADIANS($T53))+COS(RADIANS(거래사례!$S$11))*COS(RADIANS($T53))*COS(RADIANS($U53-거래사례!$P$11)))*6371000,"")</f>
        <v>229.72003914081495</v>
      </c>
    </row>
    <row r="54" spans="1:45">
      <c r="A54">
        <v>2610183650</v>
      </c>
      <c r="B54">
        <v>1141011600</v>
      </c>
      <c r="C54" t="s">
        <v>211</v>
      </c>
      <c r="D54" t="s">
        <v>0</v>
      </c>
      <c r="E54" t="s">
        <v>94</v>
      </c>
      <c r="F54" t="s">
        <v>95</v>
      </c>
      <c r="G54">
        <v>18</v>
      </c>
      <c r="H54">
        <v>18</v>
      </c>
      <c r="I54">
        <v>190000</v>
      </c>
      <c r="J54">
        <v>0</v>
      </c>
      <c r="K54" t="s">
        <v>462</v>
      </c>
      <c r="L54">
        <v>337</v>
      </c>
      <c r="M54">
        <v>101</v>
      </c>
      <c r="N54">
        <v>1881</v>
      </c>
      <c r="O54">
        <v>245.4</v>
      </c>
      <c r="P54">
        <v>74</v>
      </c>
      <c r="Q54">
        <v>2568</v>
      </c>
      <c r="R54" t="s">
        <v>161</v>
      </c>
      <c r="S54" s="40">
        <v>46076</v>
      </c>
      <c r="T54">
        <v>37.556491000000001</v>
      </c>
      <c r="U54">
        <v>126.940074</v>
      </c>
      <c r="V54" t="s">
        <v>463</v>
      </c>
      <c r="W54" t="s">
        <v>464</v>
      </c>
      <c r="X54">
        <v>1</v>
      </c>
      <c r="Y54">
        <v>0</v>
      </c>
      <c r="Z54">
        <v>0</v>
      </c>
      <c r="AA54" t="s">
        <v>99</v>
      </c>
      <c r="AB54" t="s">
        <v>451</v>
      </c>
      <c r="AC54">
        <v>190000</v>
      </c>
      <c r="AD54">
        <v>0</v>
      </c>
      <c r="AE54" t="s">
        <v>101</v>
      </c>
      <c r="AF54" t="s">
        <v>436</v>
      </c>
      <c r="AG54" t="s">
        <v>437</v>
      </c>
      <c r="AH54">
        <v>345.18784435261466</v>
      </c>
      <c r="AI54" t="s">
        <v>48</v>
      </c>
      <c r="AJ54" t="s">
        <v>104</v>
      </c>
      <c r="AK54">
        <v>430.98247149231383</v>
      </c>
      <c r="AL54">
        <v>1</v>
      </c>
      <c r="AM54" s="41" t="s">
        <v>465</v>
      </c>
      <c r="AN54">
        <f t="shared" si="25"/>
        <v>25</v>
      </c>
      <c r="AO54" t="str">
        <f t="shared" si="26"/>
        <v>이상</v>
      </c>
      <c r="AP54">
        <f t="shared" si="27"/>
        <v>26</v>
      </c>
      <c r="AQ54">
        <f t="shared" si="28"/>
        <v>40</v>
      </c>
      <c r="AR54" t="str">
        <f t="shared" si="29"/>
        <v>고</v>
      </c>
      <c r="AS54">
        <f>IFERROR(ACOS(SIN(RADIANS(거래사례!$S$11))*SIN(RADIANS($T54))+COS(RADIANS(거래사례!$S$11))*COS(RADIANS($T54))*COS(RADIANS($U54-거래사례!$P$11)))*6371000,"")</f>
        <v>1029.4622898671544</v>
      </c>
    </row>
    <row r="55" spans="1:45">
      <c r="A55">
        <v>2608990765</v>
      </c>
      <c r="B55">
        <v>1141011600</v>
      </c>
      <c r="C55" t="s">
        <v>93</v>
      </c>
      <c r="D55" t="s">
        <v>0</v>
      </c>
      <c r="E55" t="s">
        <v>94</v>
      </c>
      <c r="F55" t="s">
        <v>119</v>
      </c>
      <c r="G55">
        <v>18</v>
      </c>
      <c r="H55">
        <v>18</v>
      </c>
      <c r="I55">
        <v>190000</v>
      </c>
      <c r="J55">
        <v>0</v>
      </c>
      <c r="K55" t="s">
        <v>462</v>
      </c>
      <c r="L55">
        <v>337</v>
      </c>
      <c r="M55">
        <v>101</v>
      </c>
      <c r="N55">
        <v>1881</v>
      </c>
      <c r="O55">
        <v>245.4</v>
      </c>
      <c r="P55">
        <v>74</v>
      </c>
      <c r="Q55">
        <v>2568</v>
      </c>
      <c r="R55" t="s">
        <v>161</v>
      </c>
      <c r="S55" s="40">
        <v>46069</v>
      </c>
      <c r="T55">
        <v>37.556491000000001</v>
      </c>
      <c r="U55">
        <v>126.940074</v>
      </c>
      <c r="V55" t="s">
        <v>466</v>
      </c>
      <c r="W55" t="s">
        <v>464</v>
      </c>
      <c r="X55">
        <v>1</v>
      </c>
      <c r="Y55">
        <v>0</v>
      </c>
      <c r="Z55">
        <v>0</v>
      </c>
      <c r="AA55" t="s">
        <v>124</v>
      </c>
      <c r="AB55" t="s">
        <v>451</v>
      </c>
      <c r="AC55">
        <v>190000</v>
      </c>
      <c r="AD55">
        <v>0</v>
      </c>
      <c r="AE55" t="s">
        <v>101</v>
      </c>
      <c r="AF55" t="s">
        <v>436</v>
      </c>
      <c r="AG55" t="s">
        <v>437</v>
      </c>
      <c r="AH55">
        <v>345.18784435261466</v>
      </c>
      <c r="AI55" t="s">
        <v>48</v>
      </c>
      <c r="AJ55" t="s">
        <v>104</v>
      </c>
      <c r="AK55">
        <v>430.98247149231383</v>
      </c>
      <c r="AL55">
        <v>1</v>
      </c>
      <c r="AM55" s="41" t="s">
        <v>465</v>
      </c>
      <c r="AN55">
        <f t="shared" si="25"/>
        <v>25</v>
      </c>
      <c r="AO55" t="str">
        <f t="shared" si="26"/>
        <v>이상</v>
      </c>
      <c r="AP55">
        <f t="shared" si="27"/>
        <v>26</v>
      </c>
      <c r="AQ55">
        <f t="shared" si="28"/>
        <v>40</v>
      </c>
      <c r="AR55" t="str">
        <f t="shared" si="29"/>
        <v>고</v>
      </c>
      <c r="AS55">
        <f>IFERROR(ACOS(SIN(RADIANS(거래사례!$S$11))*SIN(RADIANS($T55))+COS(RADIANS(거래사례!$S$11))*COS(RADIANS($T55))*COS(RADIANS($U55-거래사례!$P$11)))*6371000,"")</f>
        <v>1029.4622898671544</v>
      </c>
    </row>
    <row r="56" spans="1:45" hidden="1">
      <c r="A56">
        <v>2607204136</v>
      </c>
      <c r="B56">
        <v>1144012000</v>
      </c>
      <c r="C56" t="s">
        <v>211</v>
      </c>
      <c r="D56" t="s">
        <v>0</v>
      </c>
      <c r="E56" t="s">
        <v>94</v>
      </c>
      <c r="F56" t="s">
        <v>135</v>
      </c>
      <c r="G56" t="s">
        <v>35</v>
      </c>
      <c r="H56">
        <v>2</v>
      </c>
      <c r="I56">
        <v>54000</v>
      </c>
      <c r="J56">
        <v>0</v>
      </c>
      <c r="K56" t="s">
        <v>323</v>
      </c>
      <c r="L56">
        <v>72</v>
      </c>
      <c r="M56">
        <v>21</v>
      </c>
      <c r="N56">
        <v>2571</v>
      </c>
      <c r="O56">
        <v>32.630000000000003</v>
      </c>
      <c r="P56">
        <v>9</v>
      </c>
      <c r="Q56">
        <v>6000</v>
      </c>
      <c r="R56" t="s">
        <v>96</v>
      </c>
      <c r="S56" s="40">
        <v>46058</v>
      </c>
      <c r="T56">
        <v>37.550941999999999</v>
      </c>
      <c r="U56">
        <v>126.913787</v>
      </c>
      <c r="V56" t="s">
        <v>324</v>
      </c>
      <c r="W56" t="s">
        <v>189</v>
      </c>
      <c r="X56">
        <v>1</v>
      </c>
      <c r="Y56">
        <v>0</v>
      </c>
      <c r="Z56">
        <v>0</v>
      </c>
      <c r="AA56" t="s">
        <v>148</v>
      </c>
      <c r="AB56" t="s">
        <v>325</v>
      </c>
      <c r="AC56">
        <v>54000</v>
      </c>
      <c r="AD56">
        <v>0</v>
      </c>
      <c r="AE56" t="s">
        <v>101</v>
      </c>
      <c r="AF56" t="s">
        <v>115</v>
      </c>
      <c r="AG56" t="s">
        <v>116</v>
      </c>
      <c r="AH56">
        <v>132.09524505029225</v>
      </c>
      <c r="AI56" t="s">
        <v>47</v>
      </c>
      <c r="AJ56" t="s">
        <v>104</v>
      </c>
      <c r="AK56">
        <v>528.49483569447079</v>
      </c>
      <c r="AL56">
        <v>1</v>
      </c>
      <c r="AM56" s="41" t="s">
        <v>178</v>
      </c>
    </row>
    <row r="57" spans="1:45" hidden="1">
      <c r="A57">
        <v>2611908783</v>
      </c>
      <c r="B57">
        <v>1144012200</v>
      </c>
      <c r="C57" t="s">
        <v>93</v>
      </c>
      <c r="D57" t="s">
        <v>0</v>
      </c>
      <c r="E57" t="s">
        <v>94</v>
      </c>
      <c r="F57" t="s">
        <v>244</v>
      </c>
      <c r="G57">
        <v>1</v>
      </c>
      <c r="H57">
        <v>5</v>
      </c>
      <c r="I57">
        <v>62000</v>
      </c>
      <c r="J57">
        <v>0</v>
      </c>
      <c r="K57" t="s">
        <v>326</v>
      </c>
      <c r="L57">
        <v>33</v>
      </c>
      <c r="M57">
        <v>9</v>
      </c>
      <c r="N57">
        <v>6888</v>
      </c>
      <c r="O57">
        <v>33.06</v>
      </c>
      <c r="P57">
        <v>10</v>
      </c>
      <c r="Q57">
        <v>6200</v>
      </c>
      <c r="R57" t="s">
        <v>96</v>
      </c>
      <c r="S57" s="40">
        <v>46085</v>
      </c>
      <c r="T57">
        <v>37.552261999999999</v>
      </c>
      <c r="U57">
        <v>126.908447</v>
      </c>
      <c r="V57" t="s">
        <v>327</v>
      </c>
      <c r="W57" t="s">
        <v>195</v>
      </c>
      <c r="X57">
        <v>1</v>
      </c>
      <c r="Y57">
        <v>0</v>
      </c>
      <c r="Z57">
        <v>0</v>
      </c>
      <c r="AA57" t="s">
        <v>328</v>
      </c>
      <c r="AB57" t="s">
        <v>329</v>
      </c>
      <c r="AC57">
        <v>62000</v>
      </c>
      <c r="AD57">
        <v>0</v>
      </c>
      <c r="AE57" t="s">
        <v>101</v>
      </c>
      <c r="AF57" t="s">
        <v>102</v>
      </c>
      <c r="AG57" t="s">
        <v>103</v>
      </c>
      <c r="AH57">
        <v>457.9356447040841</v>
      </c>
      <c r="AI57" t="s">
        <v>47</v>
      </c>
      <c r="AJ57" t="s">
        <v>104</v>
      </c>
      <c r="AK57">
        <v>1138.3755632534906</v>
      </c>
      <c r="AL57" t="s">
        <v>105</v>
      </c>
      <c r="AM57" s="41" t="s">
        <v>330</v>
      </c>
    </row>
    <row r="58" spans="1:45" hidden="1">
      <c r="A58">
        <v>2610910904</v>
      </c>
      <c r="B58">
        <v>1144012000</v>
      </c>
      <c r="C58" t="s">
        <v>134</v>
      </c>
      <c r="D58" t="s">
        <v>0</v>
      </c>
      <c r="E58" t="s">
        <v>94</v>
      </c>
      <c r="F58" t="s">
        <v>108</v>
      </c>
      <c r="G58">
        <v>1</v>
      </c>
      <c r="H58">
        <v>19</v>
      </c>
      <c r="I58">
        <v>58000</v>
      </c>
      <c r="J58">
        <v>0</v>
      </c>
      <c r="K58" t="s">
        <v>331</v>
      </c>
      <c r="L58">
        <v>54</v>
      </c>
      <c r="M58">
        <v>16</v>
      </c>
      <c r="N58">
        <v>3625</v>
      </c>
      <c r="O58">
        <v>30.87</v>
      </c>
      <c r="P58">
        <v>9</v>
      </c>
      <c r="Q58">
        <v>6444</v>
      </c>
      <c r="R58" t="s">
        <v>154</v>
      </c>
      <c r="S58" s="40">
        <v>46079</v>
      </c>
      <c r="T58">
        <v>37.553798999999998</v>
      </c>
      <c r="U58">
        <v>126.92370099999999</v>
      </c>
      <c r="V58" t="s">
        <v>332</v>
      </c>
      <c r="W58" t="s">
        <v>333</v>
      </c>
      <c r="X58">
        <v>1</v>
      </c>
      <c r="Y58">
        <v>0</v>
      </c>
      <c r="Z58">
        <v>0</v>
      </c>
      <c r="AA58" t="s">
        <v>222</v>
      </c>
      <c r="AB58" t="s">
        <v>255</v>
      </c>
      <c r="AC58">
        <v>58000</v>
      </c>
      <c r="AD58">
        <v>0</v>
      </c>
      <c r="AE58" t="s">
        <v>101</v>
      </c>
      <c r="AF58" t="s">
        <v>165</v>
      </c>
      <c r="AG58" t="s">
        <v>166</v>
      </c>
      <c r="AH58">
        <v>344.14694489895248</v>
      </c>
      <c r="AI58" t="s">
        <v>47</v>
      </c>
      <c r="AJ58" t="s">
        <v>104</v>
      </c>
      <c r="AK58">
        <v>690.06417067304881</v>
      </c>
      <c r="AL58" t="s">
        <v>105</v>
      </c>
      <c r="AM58" s="41" t="s">
        <v>167</v>
      </c>
    </row>
    <row r="59" spans="1:45">
      <c r="A59">
        <v>2610183650</v>
      </c>
      <c r="B59">
        <v>1141011600</v>
      </c>
      <c r="C59" t="s">
        <v>211</v>
      </c>
      <c r="D59" t="s">
        <v>0</v>
      </c>
      <c r="E59" t="s">
        <v>94</v>
      </c>
      <c r="F59" t="s">
        <v>95</v>
      </c>
      <c r="G59">
        <v>18</v>
      </c>
      <c r="H59">
        <v>18</v>
      </c>
      <c r="I59">
        <v>190000</v>
      </c>
      <c r="J59">
        <v>0</v>
      </c>
      <c r="K59" t="s">
        <v>462</v>
      </c>
      <c r="L59">
        <v>337</v>
      </c>
      <c r="M59">
        <v>101</v>
      </c>
      <c r="N59">
        <v>1881</v>
      </c>
      <c r="O59">
        <v>245.4</v>
      </c>
      <c r="P59">
        <v>74</v>
      </c>
      <c r="Q59">
        <v>2568</v>
      </c>
      <c r="R59" t="s">
        <v>161</v>
      </c>
      <c r="S59" s="40">
        <v>46076</v>
      </c>
      <c r="T59">
        <v>37.556491000000001</v>
      </c>
      <c r="U59">
        <v>126.940074</v>
      </c>
      <c r="V59" t="s">
        <v>463</v>
      </c>
      <c r="W59" t="s">
        <v>464</v>
      </c>
      <c r="X59">
        <v>1</v>
      </c>
      <c r="Y59">
        <v>0</v>
      </c>
      <c r="Z59">
        <v>0</v>
      </c>
      <c r="AA59" t="s">
        <v>99</v>
      </c>
      <c r="AB59" t="s">
        <v>451</v>
      </c>
      <c r="AC59">
        <v>190000</v>
      </c>
      <c r="AD59">
        <v>0</v>
      </c>
      <c r="AE59" t="s">
        <v>101</v>
      </c>
      <c r="AF59" t="s">
        <v>436</v>
      </c>
      <c r="AG59" t="s">
        <v>437</v>
      </c>
      <c r="AH59">
        <v>345.18784435261466</v>
      </c>
      <c r="AI59" t="s">
        <v>48</v>
      </c>
      <c r="AJ59" t="s">
        <v>104</v>
      </c>
      <c r="AK59">
        <v>430.98247149231383</v>
      </c>
      <c r="AL59">
        <v>1</v>
      </c>
      <c r="AM59" s="41" t="s">
        <v>465</v>
      </c>
      <c r="AN59">
        <f>IFERROR(VALUE(LEFT($W59,FIND("년",$W59)-1)),"")</f>
        <v>25</v>
      </c>
      <c r="AO59" t="str">
        <f>IFERROR(IF(FIND("년",$W59)=3,MID($W59,FIND("년",$W59)+1,FIND("년",$W59)-1),MID($W59,FIND("년",$W59)+1,FIND("년",$W59))),"")</f>
        <v>이상</v>
      </c>
      <c r="AP59">
        <f>IFERROR(IF($AN59&lt;11,10,IF(AND($AN59&lt;26,$AO59="이내"),25,26)),"")</f>
        <v>26</v>
      </c>
      <c r="AQ59">
        <f>IFERROR(IF($P59&lt;10,9,IF($P59&lt;20,10,IF($P59&lt;30,20,IF($P59&lt;40,30,40)))),"")</f>
        <v>40</v>
      </c>
      <c r="AR59" t="str">
        <f>IFERROR(IF($D59="상가",IF($G59="1","1층",IF($G59="전체층","전체층",IF(LEFT($G59,1)="B","B1",IF($G59&lt;6,"저",IF($G59/$H59&lt;=$BC$9,"저",IF($G59/$H59&lt;=$BC$10,"중","고")))))),IF(LEFT($G59,1)="B","B1",IF($H59&lt;6,"저",IF($G59/$H59&lt;=$BC$2,"저",IF($G59/$H59&lt;=$BC$3,"중","고"))))),"")</f>
        <v>고</v>
      </c>
      <c r="AS59">
        <f>IFERROR(ACOS(SIN(RADIANS(거래사례!$S$11))*SIN(RADIANS($T59))+COS(RADIANS(거래사례!$S$11))*COS(RADIANS($T59))*COS(RADIANS($U59-거래사례!$P$11)))*6371000,"")</f>
        <v>1029.4622898671544</v>
      </c>
    </row>
    <row r="60" spans="1:45" hidden="1">
      <c r="A60">
        <v>2607369245</v>
      </c>
      <c r="B60">
        <v>1144012300</v>
      </c>
      <c r="C60" t="s">
        <v>134</v>
      </c>
      <c r="D60" t="s">
        <v>0</v>
      </c>
      <c r="E60" t="s">
        <v>94</v>
      </c>
      <c r="F60" t="s">
        <v>95</v>
      </c>
      <c r="G60">
        <v>1</v>
      </c>
      <c r="H60">
        <v>4</v>
      </c>
      <c r="I60">
        <v>48000</v>
      </c>
      <c r="J60">
        <v>0</v>
      </c>
      <c r="K60" t="s">
        <v>339</v>
      </c>
      <c r="L60">
        <v>24</v>
      </c>
      <c r="M60">
        <v>7</v>
      </c>
      <c r="N60">
        <v>6857</v>
      </c>
      <c r="O60">
        <v>24.78</v>
      </c>
      <c r="P60">
        <v>7</v>
      </c>
      <c r="Q60">
        <v>6857</v>
      </c>
      <c r="R60" t="s">
        <v>110</v>
      </c>
      <c r="S60" s="40">
        <v>46059</v>
      </c>
      <c r="T60">
        <v>37.553094999999999</v>
      </c>
      <c r="U60">
        <v>126.904139</v>
      </c>
      <c r="V60" t="s">
        <v>340</v>
      </c>
      <c r="W60" t="s">
        <v>341</v>
      </c>
      <c r="X60">
        <v>1</v>
      </c>
      <c r="Y60">
        <v>0</v>
      </c>
      <c r="Z60">
        <v>0</v>
      </c>
      <c r="AA60" t="s">
        <v>113</v>
      </c>
      <c r="AB60" t="s">
        <v>342</v>
      </c>
      <c r="AC60">
        <v>48000</v>
      </c>
      <c r="AD60">
        <v>0</v>
      </c>
      <c r="AE60" t="s">
        <v>101</v>
      </c>
      <c r="AF60" t="s">
        <v>102</v>
      </c>
      <c r="AG60" t="s">
        <v>103</v>
      </c>
      <c r="AH60">
        <v>734.41612634074716</v>
      </c>
      <c r="AI60" t="s">
        <v>47</v>
      </c>
      <c r="AJ60" t="s">
        <v>104</v>
      </c>
      <c r="AK60">
        <v>1626.8068478981488</v>
      </c>
      <c r="AL60" t="s">
        <v>105</v>
      </c>
      <c r="AM60" s="41" t="s">
        <v>343</v>
      </c>
    </row>
    <row r="61" spans="1:45" hidden="1">
      <c r="A61">
        <v>2608679580</v>
      </c>
      <c r="B61">
        <v>1144012000</v>
      </c>
      <c r="C61" t="s">
        <v>134</v>
      </c>
      <c r="D61" t="s">
        <v>0</v>
      </c>
      <c r="E61" t="s">
        <v>94</v>
      </c>
      <c r="F61" t="s">
        <v>244</v>
      </c>
      <c r="G61">
        <v>1</v>
      </c>
      <c r="H61">
        <v>2</v>
      </c>
      <c r="I61">
        <v>110000</v>
      </c>
      <c r="J61">
        <v>0</v>
      </c>
      <c r="K61" t="s">
        <v>229</v>
      </c>
      <c r="L61">
        <v>120</v>
      </c>
      <c r="M61">
        <v>36</v>
      </c>
      <c r="N61">
        <v>3055</v>
      </c>
      <c r="O61">
        <v>54.41</v>
      </c>
      <c r="P61">
        <v>16</v>
      </c>
      <c r="Q61">
        <v>6875</v>
      </c>
      <c r="R61" t="s">
        <v>96</v>
      </c>
      <c r="S61" s="40">
        <v>46066</v>
      </c>
      <c r="T61">
        <v>37.550941999999999</v>
      </c>
      <c r="U61">
        <v>126.913787</v>
      </c>
      <c r="W61" t="s">
        <v>205</v>
      </c>
      <c r="X61">
        <v>1</v>
      </c>
      <c r="Y61">
        <v>0</v>
      </c>
      <c r="Z61">
        <v>0</v>
      </c>
      <c r="AA61" t="s">
        <v>247</v>
      </c>
      <c r="AB61" t="s">
        <v>248</v>
      </c>
      <c r="AC61">
        <v>110000</v>
      </c>
      <c r="AD61">
        <v>0</v>
      </c>
      <c r="AE61" t="s">
        <v>101</v>
      </c>
      <c r="AF61" t="s">
        <v>115</v>
      </c>
      <c r="AG61" t="s">
        <v>116</v>
      </c>
      <c r="AH61">
        <v>132.09524505029225</v>
      </c>
      <c r="AI61" t="s">
        <v>47</v>
      </c>
      <c r="AJ61" t="s">
        <v>104</v>
      </c>
      <c r="AK61">
        <v>528.49483569447079</v>
      </c>
      <c r="AL61">
        <v>1</v>
      </c>
      <c r="AM61" s="41" t="s">
        <v>178</v>
      </c>
    </row>
    <row r="62" spans="1:45">
      <c r="A62">
        <v>2608990765</v>
      </c>
      <c r="B62">
        <v>1141011600</v>
      </c>
      <c r="C62" t="s">
        <v>93</v>
      </c>
      <c r="D62" t="s">
        <v>0</v>
      </c>
      <c r="E62" t="s">
        <v>94</v>
      </c>
      <c r="F62" t="s">
        <v>119</v>
      </c>
      <c r="G62">
        <v>18</v>
      </c>
      <c r="H62">
        <v>18</v>
      </c>
      <c r="I62">
        <v>190000</v>
      </c>
      <c r="J62">
        <v>0</v>
      </c>
      <c r="K62" t="s">
        <v>462</v>
      </c>
      <c r="L62">
        <v>337</v>
      </c>
      <c r="M62">
        <v>101</v>
      </c>
      <c r="N62">
        <v>1881</v>
      </c>
      <c r="O62">
        <v>245.4</v>
      </c>
      <c r="P62">
        <v>74</v>
      </c>
      <c r="Q62">
        <v>2568</v>
      </c>
      <c r="R62" t="s">
        <v>161</v>
      </c>
      <c r="S62" s="40">
        <v>46069</v>
      </c>
      <c r="T62">
        <v>37.556491000000001</v>
      </c>
      <c r="U62">
        <v>126.940074</v>
      </c>
      <c r="V62" t="s">
        <v>466</v>
      </c>
      <c r="W62" t="s">
        <v>464</v>
      </c>
      <c r="X62">
        <v>1</v>
      </c>
      <c r="Y62">
        <v>0</v>
      </c>
      <c r="Z62">
        <v>0</v>
      </c>
      <c r="AA62" t="s">
        <v>124</v>
      </c>
      <c r="AB62" t="s">
        <v>451</v>
      </c>
      <c r="AC62">
        <v>190000</v>
      </c>
      <c r="AD62">
        <v>0</v>
      </c>
      <c r="AE62" t="s">
        <v>101</v>
      </c>
      <c r="AF62" t="s">
        <v>436</v>
      </c>
      <c r="AG62" t="s">
        <v>437</v>
      </c>
      <c r="AH62">
        <v>345.18784435261466</v>
      </c>
      <c r="AI62" t="s">
        <v>48</v>
      </c>
      <c r="AJ62" t="s">
        <v>104</v>
      </c>
      <c r="AK62">
        <v>430.98247149231383</v>
      </c>
      <c r="AL62">
        <v>1</v>
      </c>
      <c r="AM62" s="41" t="s">
        <v>465</v>
      </c>
      <c r="AN62">
        <f>IFERROR(VALUE(LEFT($W62,FIND("년",$W62)-1)),"")</f>
        <v>25</v>
      </c>
      <c r="AO62" t="str">
        <f>IFERROR(IF(FIND("년",$W62)=3,MID($W62,FIND("년",$W62)+1,FIND("년",$W62)-1),MID($W62,FIND("년",$W62)+1,FIND("년",$W62))),"")</f>
        <v>이상</v>
      </c>
      <c r="AP62">
        <f>IFERROR(IF($AN62&lt;11,10,IF(AND($AN62&lt;26,$AO62="이내"),25,26)),"")</f>
        <v>26</v>
      </c>
      <c r="AQ62">
        <f>IFERROR(IF($P62&lt;10,9,IF($P62&lt;20,10,IF($P62&lt;30,20,IF($P62&lt;40,30,40)))),"")</f>
        <v>40</v>
      </c>
      <c r="AR62" t="str">
        <f>IFERROR(IF($D62="상가",IF($G62="1","1층",IF($G62="전체층","전체층",IF(LEFT($G62,1)="B","B1",IF($G62&lt;6,"저",IF($G62/$H62&lt;=$BC$9,"저",IF($G62/$H62&lt;=$BC$10,"중","고")))))),IF(LEFT($G62,1)="B","B1",IF($H62&lt;6,"저",IF($G62/$H62&lt;=$BC$2,"저",IF($G62/$H62&lt;=$BC$3,"중","고"))))),"")</f>
        <v>고</v>
      </c>
      <c r="AS62">
        <f>IFERROR(ACOS(SIN(RADIANS(거래사례!$S$11))*SIN(RADIANS($T62))+COS(RADIANS(거래사례!$S$11))*COS(RADIANS($T62))*COS(RADIANS($U62-거래사례!$P$11)))*6371000,"")</f>
        <v>1029.4622898671544</v>
      </c>
    </row>
    <row r="63" spans="1:45" hidden="1">
      <c r="A63">
        <v>2609716030</v>
      </c>
      <c r="B63">
        <v>1144012000</v>
      </c>
      <c r="C63" t="s">
        <v>134</v>
      </c>
      <c r="D63" t="s">
        <v>0</v>
      </c>
      <c r="E63" t="s">
        <v>94</v>
      </c>
      <c r="F63" t="s">
        <v>108</v>
      </c>
      <c r="G63">
        <v>1</v>
      </c>
      <c r="H63">
        <v>24</v>
      </c>
      <c r="I63">
        <v>60000</v>
      </c>
      <c r="J63">
        <v>0</v>
      </c>
      <c r="K63" t="s">
        <v>345</v>
      </c>
      <c r="L63">
        <v>29</v>
      </c>
      <c r="M63">
        <v>8</v>
      </c>
      <c r="N63">
        <v>7500</v>
      </c>
      <c r="O63">
        <v>29.3</v>
      </c>
      <c r="P63">
        <v>8</v>
      </c>
      <c r="Q63">
        <v>7500</v>
      </c>
      <c r="R63" t="s">
        <v>145</v>
      </c>
      <c r="S63" s="40">
        <v>46074</v>
      </c>
      <c r="T63">
        <v>37.550803000000002</v>
      </c>
      <c r="U63">
        <v>126.91672199999999</v>
      </c>
      <c r="V63" t="s">
        <v>346</v>
      </c>
      <c r="W63" t="s">
        <v>347</v>
      </c>
      <c r="X63">
        <v>1</v>
      </c>
      <c r="Y63">
        <v>0</v>
      </c>
      <c r="Z63">
        <v>0</v>
      </c>
      <c r="AA63" t="s">
        <v>139</v>
      </c>
      <c r="AB63" t="s">
        <v>337</v>
      </c>
      <c r="AC63">
        <v>60000</v>
      </c>
      <c r="AD63">
        <v>0</v>
      </c>
      <c r="AE63" t="s">
        <v>101</v>
      </c>
      <c r="AF63" t="s">
        <v>115</v>
      </c>
      <c r="AG63" t="s">
        <v>116</v>
      </c>
      <c r="AH63">
        <v>244.27878031988089</v>
      </c>
      <c r="AI63" t="s">
        <v>47</v>
      </c>
      <c r="AJ63" t="s">
        <v>104</v>
      </c>
      <c r="AK63">
        <v>203.1206532669033</v>
      </c>
      <c r="AL63">
        <v>1</v>
      </c>
      <c r="AM63" s="41" t="s">
        <v>348</v>
      </c>
    </row>
    <row r="64" spans="1:45">
      <c r="A64">
        <v>2609969162</v>
      </c>
      <c r="B64">
        <v>1144012000</v>
      </c>
      <c r="C64" t="s">
        <v>134</v>
      </c>
      <c r="D64" t="s">
        <v>0</v>
      </c>
      <c r="E64" t="s">
        <v>94</v>
      </c>
      <c r="F64" t="s">
        <v>95</v>
      </c>
      <c r="G64" t="s">
        <v>35</v>
      </c>
      <c r="H64">
        <v>2</v>
      </c>
      <c r="I64">
        <v>160000</v>
      </c>
      <c r="J64">
        <v>0</v>
      </c>
      <c r="K64" t="s">
        <v>187</v>
      </c>
      <c r="L64">
        <v>396</v>
      </c>
      <c r="M64">
        <v>119</v>
      </c>
      <c r="N64">
        <v>1344</v>
      </c>
      <c r="O64">
        <v>178.49</v>
      </c>
      <c r="P64">
        <v>53</v>
      </c>
      <c r="Q64">
        <v>3019</v>
      </c>
      <c r="R64" t="s">
        <v>161</v>
      </c>
      <c r="S64" s="40">
        <v>46076</v>
      </c>
      <c r="T64">
        <v>37.550941999999999</v>
      </c>
      <c r="U64">
        <v>126.913787</v>
      </c>
      <c r="V64" t="s">
        <v>188</v>
      </c>
      <c r="W64" t="s">
        <v>189</v>
      </c>
      <c r="X64">
        <v>1</v>
      </c>
      <c r="Y64">
        <v>0</v>
      </c>
      <c r="Z64">
        <v>0</v>
      </c>
      <c r="AA64" t="s">
        <v>139</v>
      </c>
      <c r="AB64" t="s">
        <v>190</v>
      </c>
      <c r="AC64">
        <v>160000</v>
      </c>
      <c r="AD64">
        <v>0</v>
      </c>
      <c r="AE64" t="s">
        <v>101</v>
      </c>
      <c r="AF64" t="s">
        <v>115</v>
      </c>
      <c r="AG64" t="s">
        <v>116</v>
      </c>
      <c r="AH64">
        <v>132.09524505029225</v>
      </c>
      <c r="AI64" t="s">
        <v>47</v>
      </c>
      <c r="AJ64" t="s">
        <v>104</v>
      </c>
      <c r="AK64">
        <v>528.49483569447079</v>
      </c>
      <c r="AL64">
        <v>1</v>
      </c>
      <c r="AM64" s="41" t="s">
        <v>178</v>
      </c>
      <c r="AN64">
        <f>IFERROR(VALUE(LEFT($W64,FIND("년",$W64)-1)),"")</f>
        <v>15</v>
      </c>
      <c r="AO64" t="str">
        <f>IFERROR(IF(FIND("년",$W64)=3,MID($W64,FIND("년",$W64)+1,FIND("년",$W64)-1),MID($W64,FIND("년",$W64)+1,FIND("년",$W64))),"")</f>
        <v>이내</v>
      </c>
      <c r="AP64">
        <f>IFERROR(IF($AN64&lt;11,10,IF(AND($AN64&lt;26,$AO64="이내"),25,26)),"")</f>
        <v>25</v>
      </c>
      <c r="AQ64">
        <f>IFERROR(IF($P64&lt;10,9,IF($P64&lt;20,10,IF($P64&lt;30,20,IF($P64&lt;40,30,40)))),"")</f>
        <v>40</v>
      </c>
      <c r="AR64" t="str">
        <f>IFERROR(IF($D64="상가",IF($G64="1","1층",IF($G64="전체층","전체층",IF(LEFT($G64,1)="B","B1",IF($G64&lt;6,"저",IF($G64/$H64&lt;=$BC$9,"저",IF($G64/$H64&lt;=$BC$10,"중","고")))))),IF(LEFT($G64,1)="B","B1",IF($H64&lt;6,"저",IF($G64/$H64&lt;=$BC$2,"저",IF($G64/$H64&lt;=$BC$3,"중","고"))))),"")</f>
        <v>B1</v>
      </c>
      <c r="AS64">
        <f>IFERROR(ACOS(SIN(RADIANS(거래사례!$S$11))*SIN(RADIANS($T64))+COS(RADIANS(거래사례!$S$11))*COS(RADIANS($T64))*COS(RADIANS($U64-거래사례!$P$11)))*6371000,"")</f>
        <v>1675.8614531849782</v>
      </c>
    </row>
    <row r="65" spans="1:45" hidden="1">
      <c r="A65">
        <v>2606953485</v>
      </c>
      <c r="B65">
        <v>1144012000</v>
      </c>
      <c r="C65" t="s">
        <v>134</v>
      </c>
      <c r="D65" t="s">
        <v>0</v>
      </c>
      <c r="E65" t="s">
        <v>94</v>
      </c>
      <c r="F65" t="s">
        <v>95</v>
      </c>
      <c r="G65">
        <v>1</v>
      </c>
      <c r="H65">
        <v>24</v>
      </c>
      <c r="I65">
        <v>124000</v>
      </c>
      <c r="J65">
        <v>0</v>
      </c>
      <c r="K65" t="s">
        <v>351</v>
      </c>
      <c r="L65">
        <v>96</v>
      </c>
      <c r="M65">
        <v>29</v>
      </c>
      <c r="N65">
        <v>4275</v>
      </c>
      <c r="O65">
        <v>53.12</v>
      </c>
      <c r="P65">
        <v>16</v>
      </c>
      <c r="Q65">
        <v>7750</v>
      </c>
      <c r="R65" t="s">
        <v>145</v>
      </c>
      <c r="S65" s="40">
        <v>46058</v>
      </c>
      <c r="T65">
        <v>37.550803000000002</v>
      </c>
      <c r="U65">
        <v>126.91672199999999</v>
      </c>
      <c r="V65" t="s">
        <v>352</v>
      </c>
      <c r="W65" t="s">
        <v>347</v>
      </c>
      <c r="X65">
        <v>1</v>
      </c>
      <c r="Y65">
        <v>0</v>
      </c>
      <c r="Z65">
        <v>0</v>
      </c>
      <c r="AA65" t="s">
        <v>99</v>
      </c>
      <c r="AB65" t="s">
        <v>353</v>
      </c>
      <c r="AC65">
        <v>124000</v>
      </c>
      <c r="AD65">
        <v>0</v>
      </c>
      <c r="AE65" t="s">
        <v>101</v>
      </c>
      <c r="AF65" t="s">
        <v>115</v>
      </c>
      <c r="AG65" t="s">
        <v>116</v>
      </c>
      <c r="AH65">
        <v>244.27878031988089</v>
      </c>
      <c r="AI65" t="s">
        <v>47</v>
      </c>
      <c r="AJ65" t="s">
        <v>104</v>
      </c>
      <c r="AK65">
        <v>203.1206532669033</v>
      </c>
      <c r="AL65">
        <v>1</v>
      </c>
      <c r="AM65" s="41" t="s">
        <v>348</v>
      </c>
    </row>
    <row r="66" spans="1:45" hidden="1">
      <c r="A66">
        <v>2607687145</v>
      </c>
      <c r="B66">
        <v>1144012000</v>
      </c>
      <c r="C66" t="s">
        <v>134</v>
      </c>
      <c r="D66" t="s">
        <v>0</v>
      </c>
      <c r="E66" t="s">
        <v>94</v>
      </c>
      <c r="F66" t="s">
        <v>108</v>
      </c>
      <c r="G66" t="s">
        <v>35</v>
      </c>
      <c r="H66">
        <v>2</v>
      </c>
      <c r="I66">
        <v>105000</v>
      </c>
      <c r="J66">
        <v>0</v>
      </c>
      <c r="K66" t="s">
        <v>354</v>
      </c>
      <c r="L66">
        <v>99</v>
      </c>
      <c r="M66">
        <v>29</v>
      </c>
      <c r="N66">
        <v>3620</v>
      </c>
      <c r="O66">
        <v>44.99</v>
      </c>
      <c r="P66">
        <v>13</v>
      </c>
      <c r="Q66">
        <v>8077</v>
      </c>
      <c r="R66" t="s">
        <v>145</v>
      </c>
      <c r="S66" s="40">
        <v>46062</v>
      </c>
      <c r="T66">
        <v>37.550941999999999</v>
      </c>
      <c r="U66">
        <v>126.913787</v>
      </c>
      <c r="V66" t="s">
        <v>355</v>
      </c>
      <c r="W66" t="s">
        <v>189</v>
      </c>
      <c r="X66">
        <v>1</v>
      </c>
      <c r="Y66">
        <v>0</v>
      </c>
      <c r="Z66">
        <v>0</v>
      </c>
      <c r="AA66" t="s">
        <v>139</v>
      </c>
      <c r="AB66" t="s">
        <v>206</v>
      </c>
      <c r="AC66">
        <v>105000</v>
      </c>
      <c r="AD66">
        <v>0</v>
      </c>
      <c r="AE66" t="s">
        <v>101</v>
      </c>
      <c r="AF66" t="s">
        <v>115</v>
      </c>
      <c r="AG66" t="s">
        <v>116</v>
      </c>
      <c r="AH66">
        <v>132.09524505029225</v>
      </c>
      <c r="AI66" t="s">
        <v>47</v>
      </c>
      <c r="AJ66" t="s">
        <v>104</v>
      </c>
      <c r="AK66">
        <v>528.49483569447079</v>
      </c>
      <c r="AL66">
        <v>1</v>
      </c>
      <c r="AM66" s="41" t="s">
        <v>178</v>
      </c>
    </row>
    <row r="67" spans="1:45" hidden="1">
      <c r="A67">
        <v>2607773477</v>
      </c>
      <c r="B67">
        <v>1144012000</v>
      </c>
      <c r="C67" t="s">
        <v>134</v>
      </c>
      <c r="D67" t="s">
        <v>0</v>
      </c>
      <c r="E67" t="s">
        <v>94</v>
      </c>
      <c r="F67" t="s">
        <v>95</v>
      </c>
      <c r="G67" t="s">
        <v>35</v>
      </c>
      <c r="H67">
        <v>2</v>
      </c>
      <c r="I67">
        <v>105000</v>
      </c>
      <c r="J67">
        <v>0</v>
      </c>
      <c r="K67" t="s">
        <v>354</v>
      </c>
      <c r="L67">
        <v>99</v>
      </c>
      <c r="M67">
        <v>29</v>
      </c>
      <c r="N67">
        <v>3620</v>
      </c>
      <c r="O67">
        <v>44.98</v>
      </c>
      <c r="P67">
        <v>13</v>
      </c>
      <c r="Q67">
        <v>8077</v>
      </c>
      <c r="R67" t="s">
        <v>208</v>
      </c>
      <c r="S67" s="40">
        <v>46062</v>
      </c>
      <c r="T67">
        <v>37.550941999999999</v>
      </c>
      <c r="U67">
        <v>126.913787</v>
      </c>
      <c r="V67" t="s">
        <v>356</v>
      </c>
      <c r="W67" t="s">
        <v>189</v>
      </c>
      <c r="X67">
        <v>1</v>
      </c>
      <c r="Y67">
        <v>0</v>
      </c>
      <c r="Z67">
        <v>0</v>
      </c>
      <c r="AA67" t="s">
        <v>148</v>
      </c>
      <c r="AB67" t="s">
        <v>357</v>
      </c>
      <c r="AC67">
        <v>105000</v>
      </c>
      <c r="AD67">
        <v>0</v>
      </c>
      <c r="AE67" t="s">
        <v>101</v>
      </c>
      <c r="AF67" t="s">
        <v>115</v>
      </c>
      <c r="AG67" t="s">
        <v>116</v>
      </c>
      <c r="AH67">
        <v>132.09524505029225</v>
      </c>
      <c r="AI67" t="s">
        <v>47</v>
      </c>
      <c r="AJ67" t="s">
        <v>104</v>
      </c>
      <c r="AK67">
        <v>528.49483569447079</v>
      </c>
      <c r="AL67">
        <v>1</v>
      </c>
      <c r="AM67" s="41" t="s">
        <v>178</v>
      </c>
    </row>
    <row r="68" spans="1:45" hidden="1">
      <c r="A68">
        <v>2611909270</v>
      </c>
      <c r="B68">
        <v>1144012200</v>
      </c>
      <c r="C68" t="s">
        <v>93</v>
      </c>
      <c r="D68" t="s">
        <v>0</v>
      </c>
      <c r="E68" t="s">
        <v>94</v>
      </c>
      <c r="F68" t="s">
        <v>95</v>
      </c>
      <c r="G68">
        <v>1</v>
      </c>
      <c r="H68">
        <v>5</v>
      </c>
      <c r="I68">
        <v>32500</v>
      </c>
      <c r="J68">
        <v>0</v>
      </c>
      <c r="K68" t="s">
        <v>358</v>
      </c>
      <c r="L68">
        <v>22</v>
      </c>
      <c r="M68">
        <v>6</v>
      </c>
      <c r="N68">
        <v>5416</v>
      </c>
      <c r="O68">
        <v>15.68</v>
      </c>
      <c r="P68">
        <v>4</v>
      </c>
      <c r="Q68">
        <v>8125</v>
      </c>
      <c r="R68" t="s">
        <v>136</v>
      </c>
      <c r="S68" s="40">
        <v>46085</v>
      </c>
      <c r="T68">
        <v>37.551873999999998</v>
      </c>
      <c r="U68">
        <v>126.906485</v>
      </c>
      <c r="V68" t="s">
        <v>359</v>
      </c>
      <c r="W68" t="s">
        <v>195</v>
      </c>
      <c r="X68">
        <v>1</v>
      </c>
      <c r="Y68">
        <v>0</v>
      </c>
      <c r="Z68">
        <v>0</v>
      </c>
      <c r="AA68" t="s">
        <v>328</v>
      </c>
      <c r="AB68" t="s">
        <v>329</v>
      </c>
      <c r="AC68">
        <v>32500</v>
      </c>
      <c r="AD68">
        <v>0</v>
      </c>
      <c r="AE68" t="s">
        <v>101</v>
      </c>
      <c r="AF68" t="s">
        <v>102</v>
      </c>
      <c r="AG68" t="s">
        <v>103</v>
      </c>
      <c r="AH68">
        <v>610.68462655210783</v>
      </c>
      <c r="AI68" t="s">
        <v>47</v>
      </c>
      <c r="AJ68" t="s">
        <v>104</v>
      </c>
      <c r="AK68">
        <v>1347.9016040103618</v>
      </c>
      <c r="AL68" t="s">
        <v>105</v>
      </c>
      <c r="AM68" s="41" t="s">
        <v>360</v>
      </c>
    </row>
    <row r="69" spans="1:45">
      <c r="A69">
        <v>2609969162</v>
      </c>
      <c r="B69">
        <v>1144012000</v>
      </c>
      <c r="C69" t="s">
        <v>134</v>
      </c>
      <c r="D69" t="s">
        <v>0</v>
      </c>
      <c r="E69" t="s">
        <v>94</v>
      </c>
      <c r="F69" t="s">
        <v>95</v>
      </c>
      <c r="G69" t="s">
        <v>35</v>
      </c>
      <c r="H69">
        <v>2</v>
      </c>
      <c r="I69">
        <v>160000</v>
      </c>
      <c r="J69">
        <v>0</v>
      </c>
      <c r="K69" t="s">
        <v>187</v>
      </c>
      <c r="L69">
        <v>396</v>
      </c>
      <c r="M69">
        <v>119</v>
      </c>
      <c r="N69">
        <v>1344</v>
      </c>
      <c r="O69">
        <v>178.49</v>
      </c>
      <c r="P69">
        <v>53</v>
      </c>
      <c r="Q69">
        <v>3019</v>
      </c>
      <c r="R69" t="s">
        <v>161</v>
      </c>
      <c r="S69" s="40">
        <v>46076</v>
      </c>
      <c r="T69">
        <v>37.550941999999999</v>
      </c>
      <c r="U69">
        <v>126.913787</v>
      </c>
      <c r="V69" t="s">
        <v>188</v>
      </c>
      <c r="W69" t="s">
        <v>189</v>
      </c>
      <c r="X69">
        <v>1</v>
      </c>
      <c r="Y69">
        <v>0</v>
      </c>
      <c r="Z69">
        <v>0</v>
      </c>
      <c r="AA69" t="s">
        <v>139</v>
      </c>
      <c r="AB69" t="s">
        <v>190</v>
      </c>
      <c r="AC69">
        <v>160000</v>
      </c>
      <c r="AD69">
        <v>0</v>
      </c>
      <c r="AE69" t="s">
        <v>101</v>
      </c>
      <c r="AF69" t="s">
        <v>115</v>
      </c>
      <c r="AG69" t="s">
        <v>116</v>
      </c>
      <c r="AH69">
        <v>132.09524505029225</v>
      </c>
      <c r="AI69" t="s">
        <v>47</v>
      </c>
      <c r="AJ69" t="s">
        <v>104</v>
      </c>
      <c r="AK69">
        <v>528.49483569447079</v>
      </c>
      <c r="AL69">
        <v>1</v>
      </c>
      <c r="AM69" s="41" t="s">
        <v>178</v>
      </c>
      <c r="AN69">
        <f t="shared" ref="AN69:AN71" si="30">IFERROR(VALUE(LEFT($W69,FIND("년",$W69)-1)),"")</f>
        <v>15</v>
      </c>
      <c r="AO69" t="str">
        <f t="shared" ref="AO69:AO71" si="31">IFERROR(IF(FIND("년",$W69)=3,MID($W69,FIND("년",$W69)+1,FIND("년",$W69)-1),MID($W69,FIND("년",$W69)+1,FIND("년",$W69))),"")</f>
        <v>이내</v>
      </c>
      <c r="AP69">
        <f t="shared" ref="AP69:AP71" si="32">IFERROR(IF($AN69&lt;11,10,IF(AND($AN69&lt;26,$AO69="이내"),25,26)),"")</f>
        <v>25</v>
      </c>
      <c r="AQ69">
        <f t="shared" ref="AQ69:AQ71" si="33">IFERROR(IF($P69&lt;10,9,IF($P69&lt;20,10,IF($P69&lt;30,20,IF($P69&lt;40,30,40)))),"")</f>
        <v>40</v>
      </c>
      <c r="AR69" t="str">
        <f t="shared" ref="AR69:AR71" si="34">IFERROR(IF($D69="상가",IF($G69="1","1층",IF($G69="전체층","전체층",IF(LEFT($G69,1)="B","B1",IF($G69&lt;6,"저",IF($G69/$H69&lt;=$BC$9,"저",IF($G69/$H69&lt;=$BC$10,"중","고")))))),IF(LEFT($G69,1)="B","B1",IF($H69&lt;6,"저",IF($G69/$H69&lt;=$BC$2,"저",IF($G69/$H69&lt;=$BC$3,"중","고"))))),"")</f>
        <v>B1</v>
      </c>
      <c r="AS69">
        <f>IFERROR(ACOS(SIN(RADIANS(거래사례!$S$11))*SIN(RADIANS($T69))+COS(RADIANS(거래사례!$S$11))*COS(RADIANS($T69))*COS(RADIANS($U69-거래사례!$P$11)))*6371000,"")</f>
        <v>1675.8614531849782</v>
      </c>
    </row>
    <row r="70" spans="1:45">
      <c r="A70">
        <v>2607741631</v>
      </c>
      <c r="B70">
        <v>1144011400</v>
      </c>
      <c r="C70" t="s">
        <v>134</v>
      </c>
      <c r="D70" t="s">
        <v>0</v>
      </c>
      <c r="E70" t="s">
        <v>94</v>
      </c>
      <c r="F70" t="s">
        <v>135</v>
      </c>
      <c r="G70">
        <v>2</v>
      </c>
      <c r="H70">
        <v>2</v>
      </c>
      <c r="I70">
        <v>65000</v>
      </c>
      <c r="J70">
        <v>0</v>
      </c>
      <c r="K70" t="s">
        <v>297</v>
      </c>
      <c r="L70">
        <v>90</v>
      </c>
      <c r="M70">
        <v>27</v>
      </c>
      <c r="N70">
        <v>2407</v>
      </c>
      <c r="O70">
        <v>70</v>
      </c>
      <c r="P70">
        <v>21</v>
      </c>
      <c r="Q70">
        <v>3095</v>
      </c>
      <c r="R70" t="s">
        <v>145</v>
      </c>
      <c r="S70" s="40">
        <v>46062</v>
      </c>
      <c r="T70">
        <v>37.548369000000001</v>
      </c>
      <c r="U70">
        <v>126.92944799999999</v>
      </c>
      <c r="V70" t="s">
        <v>478</v>
      </c>
      <c r="W70" t="s">
        <v>479</v>
      </c>
      <c r="X70">
        <v>1</v>
      </c>
      <c r="Y70">
        <v>0</v>
      </c>
      <c r="Z70">
        <v>0</v>
      </c>
      <c r="AA70" t="s">
        <v>176</v>
      </c>
      <c r="AB70" t="s">
        <v>480</v>
      </c>
      <c r="AC70">
        <v>65000</v>
      </c>
      <c r="AD70">
        <v>0</v>
      </c>
      <c r="AE70" t="s">
        <v>101</v>
      </c>
      <c r="AF70" t="s">
        <v>481</v>
      </c>
      <c r="AG70" t="s">
        <v>103</v>
      </c>
      <c r="AH70">
        <v>353.10489569662644</v>
      </c>
      <c r="AI70" t="s">
        <v>47</v>
      </c>
      <c r="AJ70" t="s">
        <v>104</v>
      </c>
      <c r="AK70">
        <v>1239.2769741190828</v>
      </c>
      <c r="AL70" t="s">
        <v>105</v>
      </c>
      <c r="AM70" s="41" t="s">
        <v>482</v>
      </c>
      <c r="AN70">
        <f t="shared" si="30"/>
        <v>25</v>
      </c>
      <c r="AO70" t="str">
        <f t="shared" si="31"/>
        <v>이내</v>
      </c>
      <c r="AP70">
        <f t="shared" si="32"/>
        <v>25</v>
      </c>
      <c r="AQ70">
        <f t="shared" si="33"/>
        <v>20</v>
      </c>
      <c r="AR70" t="str">
        <f t="shared" si="34"/>
        <v>저</v>
      </c>
      <c r="AS70">
        <f>IFERROR(ACOS(SIN(RADIANS(거래사례!$S$11))*SIN(RADIANS($T70))+COS(RADIANS(거래사례!$S$11))*COS(RADIANS($T70))*COS(RADIANS($U70-거래사례!$P$11)))*6371000,"")</f>
        <v>1271.4203270729938</v>
      </c>
    </row>
    <row r="71" spans="1:45">
      <c r="A71">
        <v>2607741631</v>
      </c>
      <c r="B71">
        <v>1144011400</v>
      </c>
      <c r="C71" t="s">
        <v>134</v>
      </c>
      <c r="D71" t="s">
        <v>0</v>
      </c>
      <c r="E71" t="s">
        <v>94</v>
      </c>
      <c r="F71" t="s">
        <v>135</v>
      </c>
      <c r="G71">
        <v>2</v>
      </c>
      <c r="H71">
        <v>2</v>
      </c>
      <c r="I71">
        <v>65000</v>
      </c>
      <c r="J71">
        <v>0</v>
      </c>
      <c r="K71" t="s">
        <v>297</v>
      </c>
      <c r="L71">
        <v>90</v>
      </c>
      <c r="M71">
        <v>27</v>
      </c>
      <c r="N71">
        <v>2407</v>
      </c>
      <c r="O71">
        <v>70</v>
      </c>
      <c r="P71">
        <v>21</v>
      </c>
      <c r="Q71">
        <v>3095</v>
      </c>
      <c r="R71" t="s">
        <v>145</v>
      </c>
      <c r="S71" s="40">
        <v>46062</v>
      </c>
      <c r="T71">
        <v>37.548369000000001</v>
      </c>
      <c r="U71">
        <v>126.92944799999999</v>
      </c>
      <c r="V71" t="s">
        <v>478</v>
      </c>
      <c r="W71" t="s">
        <v>479</v>
      </c>
      <c r="X71">
        <v>1</v>
      </c>
      <c r="Y71">
        <v>0</v>
      </c>
      <c r="Z71">
        <v>0</v>
      </c>
      <c r="AA71" t="s">
        <v>176</v>
      </c>
      <c r="AB71" t="s">
        <v>480</v>
      </c>
      <c r="AC71">
        <v>65000</v>
      </c>
      <c r="AD71">
        <v>0</v>
      </c>
      <c r="AE71" t="s">
        <v>101</v>
      </c>
      <c r="AF71" t="s">
        <v>481</v>
      </c>
      <c r="AG71" t="s">
        <v>103</v>
      </c>
      <c r="AH71">
        <v>353.10489569662644</v>
      </c>
      <c r="AI71" t="s">
        <v>47</v>
      </c>
      <c r="AJ71" t="s">
        <v>104</v>
      </c>
      <c r="AK71">
        <v>1239.2769741190828</v>
      </c>
      <c r="AL71" t="s">
        <v>105</v>
      </c>
      <c r="AM71" s="41" t="s">
        <v>482</v>
      </c>
      <c r="AN71">
        <f t="shared" si="30"/>
        <v>25</v>
      </c>
      <c r="AO71" t="str">
        <f t="shared" si="31"/>
        <v>이내</v>
      </c>
      <c r="AP71">
        <f t="shared" si="32"/>
        <v>25</v>
      </c>
      <c r="AQ71">
        <f t="shared" si="33"/>
        <v>20</v>
      </c>
      <c r="AR71" t="str">
        <f t="shared" si="34"/>
        <v>저</v>
      </c>
      <c r="AS71">
        <f>IFERROR(ACOS(SIN(RADIANS(거래사례!$S$11))*SIN(RADIANS($T71))+COS(RADIANS(거래사례!$S$11))*COS(RADIANS($T71))*COS(RADIANS($U71-거래사례!$P$11)))*6371000,"")</f>
        <v>1271.4203270729938</v>
      </c>
    </row>
    <row r="72" spans="1:45" hidden="1">
      <c r="A72">
        <v>2607736329</v>
      </c>
      <c r="B72">
        <v>1144012000</v>
      </c>
      <c r="C72" t="s">
        <v>93</v>
      </c>
      <c r="D72" t="s">
        <v>0</v>
      </c>
      <c r="E72" t="s">
        <v>94</v>
      </c>
      <c r="F72" t="s">
        <v>135</v>
      </c>
      <c r="G72" t="s">
        <v>35</v>
      </c>
      <c r="H72">
        <v>2</v>
      </c>
      <c r="I72">
        <v>80000</v>
      </c>
      <c r="J72">
        <v>0</v>
      </c>
      <c r="K72" t="s">
        <v>372</v>
      </c>
      <c r="L72">
        <v>72</v>
      </c>
      <c r="M72">
        <v>21</v>
      </c>
      <c r="N72">
        <v>3809</v>
      </c>
      <c r="O72">
        <v>32.42</v>
      </c>
      <c r="P72">
        <v>9</v>
      </c>
      <c r="Q72">
        <v>8889</v>
      </c>
      <c r="R72" t="s">
        <v>136</v>
      </c>
      <c r="S72" s="40">
        <v>46062</v>
      </c>
      <c r="T72">
        <v>37.550941999999999</v>
      </c>
      <c r="U72">
        <v>126.913787</v>
      </c>
      <c r="V72" t="s">
        <v>373</v>
      </c>
      <c r="W72" t="s">
        <v>189</v>
      </c>
      <c r="X72">
        <v>1</v>
      </c>
      <c r="Y72">
        <v>0</v>
      </c>
      <c r="Z72">
        <v>0</v>
      </c>
      <c r="AA72" t="s">
        <v>99</v>
      </c>
      <c r="AB72" t="s">
        <v>100</v>
      </c>
      <c r="AC72">
        <v>80000</v>
      </c>
      <c r="AD72">
        <v>0</v>
      </c>
      <c r="AE72" t="s">
        <v>101</v>
      </c>
      <c r="AF72" t="s">
        <v>115</v>
      </c>
      <c r="AG72" t="s">
        <v>116</v>
      </c>
      <c r="AH72">
        <v>132.09524505029225</v>
      </c>
      <c r="AI72" t="s">
        <v>47</v>
      </c>
      <c r="AJ72" t="s">
        <v>104</v>
      </c>
      <c r="AK72">
        <v>528.49483569447079</v>
      </c>
      <c r="AL72">
        <v>1</v>
      </c>
      <c r="AM72" s="41" t="s">
        <v>178</v>
      </c>
    </row>
    <row r="73" spans="1:45" hidden="1">
      <c r="A73">
        <v>2609203532</v>
      </c>
      <c r="B73">
        <v>1156012900</v>
      </c>
      <c r="C73" t="s">
        <v>93</v>
      </c>
      <c r="D73" t="s">
        <v>0</v>
      </c>
      <c r="E73" t="s">
        <v>94</v>
      </c>
      <c r="F73" t="s">
        <v>95</v>
      </c>
      <c r="G73">
        <v>1</v>
      </c>
      <c r="H73">
        <v>15</v>
      </c>
      <c r="I73">
        <v>80000</v>
      </c>
      <c r="J73">
        <v>0</v>
      </c>
      <c r="K73" t="s">
        <v>372</v>
      </c>
      <c r="L73">
        <v>56</v>
      </c>
      <c r="M73">
        <v>16</v>
      </c>
      <c r="N73">
        <v>5000</v>
      </c>
      <c r="O73">
        <v>32.9</v>
      </c>
      <c r="P73">
        <v>9</v>
      </c>
      <c r="Q73">
        <v>8889</v>
      </c>
      <c r="R73" t="s">
        <v>96</v>
      </c>
      <c r="S73" s="40">
        <v>46072</v>
      </c>
      <c r="T73">
        <v>37.539462999999998</v>
      </c>
      <c r="U73">
        <v>126.894358</v>
      </c>
      <c r="V73" t="s">
        <v>374</v>
      </c>
      <c r="W73" t="s">
        <v>375</v>
      </c>
      <c r="X73">
        <v>1</v>
      </c>
      <c r="Y73">
        <v>0</v>
      </c>
      <c r="Z73">
        <v>0</v>
      </c>
      <c r="AA73" t="s">
        <v>99</v>
      </c>
      <c r="AB73" t="s">
        <v>376</v>
      </c>
      <c r="AC73">
        <v>80000</v>
      </c>
      <c r="AD73">
        <v>0</v>
      </c>
      <c r="AE73" t="s">
        <v>101</v>
      </c>
      <c r="AF73" t="s">
        <v>158</v>
      </c>
      <c r="AG73" t="s">
        <v>159</v>
      </c>
      <c r="AH73">
        <v>102.47427305914258</v>
      </c>
      <c r="AI73" t="s">
        <v>49</v>
      </c>
      <c r="AJ73" t="s">
        <v>104</v>
      </c>
      <c r="AK73">
        <v>200.82111841810917</v>
      </c>
      <c r="AL73">
        <v>1</v>
      </c>
      <c r="AM73" s="41" t="s">
        <v>377</v>
      </c>
    </row>
    <row r="74" spans="1:45" hidden="1">
      <c r="A74">
        <v>2607248076</v>
      </c>
      <c r="B74">
        <v>1144012000</v>
      </c>
      <c r="C74" t="s">
        <v>134</v>
      </c>
      <c r="D74" t="s">
        <v>0</v>
      </c>
      <c r="E74" t="s">
        <v>94</v>
      </c>
      <c r="F74" t="s">
        <v>95</v>
      </c>
      <c r="G74" t="s">
        <v>35</v>
      </c>
      <c r="H74">
        <v>15</v>
      </c>
      <c r="I74">
        <v>80000</v>
      </c>
      <c r="J74">
        <v>0</v>
      </c>
      <c r="K74" t="s">
        <v>372</v>
      </c>
      <c r="L74">
        <v>57</v>
      </c>
      <c r="M74">
        <v>17</v>
      </c>
      <c r="N74">
        <v>4705</v>
      </c>
      <c r="O74">
        <v>30.72</v>
      </c>
      <c r="P74">
        <v>9</v>
      </c>
      <c r="Q74">
        <v>8889</v>
      </c>
      <c r="R74" t="s">
        <v>96</v>
      </c>
      <c r="S74" s="40">
        <v>46059</v>
      </c>
      <c r="T74">
        <v>37.549554999999998</v>
      </c>
      <c r="U74">
        <v>126.914817</v>
      </c>
      <c r="V74" t="s">
        <v>378</v>
      </c>
      <c r="W74" t="s">
        <v>379</v>
      </c>
      <c r="X74">
        <v>1</v>
      </c>
      <c r="Y74">
        <v>0</v>
      </c>
      <c r="Z74">
        <v>0</v>
      </c>
      <c r="AA74" t="s">
        <v>113</v>
      </c>
      <c r="AB74" t="s">
        <v>201</v>
      </c>
      <c r="AC74">
        <v>80000</v>
      </c>
      <c r="AD74">
        <v>0</v>
      </c>
      <c r="AE74" t="s">
        <v>101</v>
      </c>
      <c r="AF74" t="s">
        <v>115</v>
      </c>
      <c r="AG74" t="s">
        <v>116</v>
      </c>
      <c r="AH74">
        <v>65.461937322575565</v>
      </c>
      <c r="AI74" t="s">
        <v>47</v>
      </c>
      <c r="AJ74" t="s">
        <v>104</v>
      </c>
      <c r="AK74">
        <v>421.68102098739234</v>
      </c>
      <c r="AL74">
        <v>1</v>
      </c>
      <c r="AM74" s="41" t="s">
        <v>202</v>
      </c>
    </row>
    <row r="75" spans="1:45" hidden="1">
      <c r="A75">
        <v>2606357876</v>
      </c>
      <c r="B75">
        <v>1144012000</v>
      </c>
      <c r="C75" t="s">
        <v>134</v>
      </c>
      <c r="D75" t="s">
        <v>0</v>
      </c>
      <c r="E75" t="s">
        <v>94</v>
      </c>
      <c r="F75" t="s">
        <v>95</v>
      </c>
      <c r="G75" t="s">
        <v>35</v>
      </c>
      <c r="H75">
        <v>15</v>
      </c>
      <c r="I75">
        <v>160000</v>
      </c>
      <c r="J75">
        <v>0</v>
      </c>
      <c r="K75" t="s">
        <v>187</v>
      </c>
      <c r="L75">
        <v>114</v>
      </c>
      <c r="M75">
        <v>34</v>
      </c>
      <c r="N75">
        <v>4705</v>
      </c>
      <c r="O75">
        <v>61.9</v>
      </c>
      <c r="P75">
        <v>18</v>
      </c>
      <c r="Q75">
        <v>8889</v>
      </c>
      <c r="R75" t="s">
        <v>96</v>
      </c>
      <c r="S75" s="40">
        <v>46055</v>
      </c>
      <c r="T75">
        <v>37.549554999999998</v>
      </c>
      <c r="U75">
        <v>126.914817</v>
      </c>
      <c r="V75" t="s">
        <v>380</v>
      </c>
      <c r="W75" t="s">
        <v>379</v>
      </c>
      <c r="X75">
        <v>1</v>
      </c>
      <c r="Y75">
        <v>0</v>
      </c>
      <c r="Z75">
        <v>0</v>
      </c>
      <c r="AA75" t="s">
        <v>113</v>
      </c>
      <c r="AB75" t="s">
        <v>201</v>
      </c>
      <c r="AC75">
        <v>160000</v>
      </c>
      <c r="AD75">
        <v>0</v>
      </c>
      <c r="AE75" t="s">
        <v>101</v>
      </c>
      <c r="AF75" t="s">
        <v>115</v>
      </c>
      <c r="AG75" t="s">
        <v>116</v>
      </c>
      <c r="AH75">
        <v>65.461937322575565</v>
      </c>
      <c r="AI75" t="s">
        <v>47</v>
      </c>
      <c r="AJ75" t="s">
        <v>104</v>
      </c>
      <c r="AK75">
        <v>421.68102098739234</v>
      </c>
      <c r="AL75">
        <v>1</v>
      </c>
      <c r="AM75" s="41" t="s">
        <v>202</v>
      </c>
    </row>
    <row r="76" spans="1:45" hidden="1">
      <c r="A76">
        <v>2607647428</v>
      </c>
      <c r="B76">
        <v>1144012000</v>
      </c>
      <c r="C76" t="s">
        <v>134</v>
      </c>
      <c r="D76" t="s">
        <v>0</v>
      </c>
      <c r="E76" t="s">
        <v>94</v>
      </c>
      <c r="F76" t="s">
        <v>108</v>
      </c>
      <c r="G76">
        <v>1</v>
      </c>
      <c r="H76">
        <v>24</v>
      </c>
      <c r="I76">
        <v>75000</v>
      </c>
      <c r="J76">
        <v>0</v>
      </c>
      <c r="K76" t="s">
        <v>381</v>
      </c>
      <c r="L76">
        <v>26</v>
      </c>
      <c r="M76">
        <v>7</v>
      </c>
      <c r="N76">
        <v>10714</v>
      </c>
      <c r="O76">
        <v>26.59</v>
      </c>
      <c r="P76">
        <v>8</v>
      </c>
      <c r="Q76">
        <v>9375</v>
      </c>
      <c r="R76" t="s">
        <v>110</v>
      </c>
      <c r="S76" s="40">
        <v>46062</v>
      </c>
      <c r="T76">
        <v>37.550803000000002</v>
      </c>
      <c r="U76">
        <v>126.91672199999999</v>
      </c>
      <c r="V76" t="s">
        <v>382</v>
      </c>
      <c r="W76" t="s">
        <v>350</v>
      </c>
      <c r="X76">
        <v>1</v>
      </c>
      <c r="Y76">
        <v>0</v>
      </c>
      <c r="Z76">
        <v>0</v>
      </c>
      <c r="AA76" t="s">
        <v>139</v>
      </c>
      <c r="AB76" t="s">
        <v>337</v>
      </c>
      <c r="AC76">
        <v>75000</v>
      </c>
      <c r="AD76">
        <v>0</v>
      </c>
      <c r="AE76" t="s">
        <v>101</v>
      </c>
      <c r="AF76" t="s">
        <v>115</v>
      </c>
      <c r="AG76" t="s">
        <v>116</v>
      </c>
      <c r="AH76">
        <v>244.27878031988089</v>
      </c>
      <c r="AI76" t="s">
        <v>47</v>
      </c>
      <c r="AJ76" t="s">
        <v>104</v>
      </c>
      <c r="AK76">
        <v>203.1206532669033</v>
      </c>
      <c r="AL76">
        <v>1</v>
      </c>
      <c r="AM76" s="41" t="s">
        <v>348</v>
      </c>
    </row>
    <row r="77" spans="1:45" hidden="1">
      <c r="A77">
        <v>2607942324</v>
      </c>
      <c r="B77">
        <v>1144012000</v>
      </c>
      <c r="C77" t="s">
        <v>134</v>
      </c>
      <c r="D77" t="s">
        <v>0</v>
      </c>
      <c r="E77" t="s">
        <v>94</v>
      </c>
      <c r="F77" t="s">
        <v>108</v>
      </c>
      <c r="G77" t="s">
        <v>35</v>
      </c>
      <c r="H77">
        <v>2</v>
      </c>
      <c r="I77">
        <v>85000</v>
      </c>
      <c r="J77">
        <v>0</v>
      </c>
      <c r="K77" t="s">
        <v>304</v>
      </c>
      <c r="L77">
        <v>72</v>
      </c>
      <c r="M77">
        <v>21</v>
      </c>
      <c r="N77">
        <v>4047</v>
      </c>
      <c r="O77">
        <v>32.42</v>
      </c>
      <c r="P77">
        <v>9</v>
      </c>
      <c r="Q77">
        <v>9444</v>
      </c>
      <c r="R77" t="s">
        <v>154</v>
      </c>
      <c r="S77" s="40">
        <v>46063</v>
      </c>
      <c r="T77">
        <v>37.550941999999999</v>
      </c>
      <c r="U77">
        <v>126.913787</v>
      </c>
      <c r="V77" t="s">
        <v>383</v>
      </c>
      <c r="W77" t="s">
        <v>384</v>
      </c>
      <c r="X77">
        <v>1</v>
      </c>
      <c r="Y77">
        <v>0</v>
      </c>
      <c r="Z77">
        <v>0</v>
      </c>
      <c r="AA77" t="s">
        <v>99</v>
      </c>
      <c r="AB77" t="s">
        <v>227</v>
      </c>
      <c r="AC77">
        <v>85000</v>
      </c>
      <c r="AD77">
        <v>0</v>
      </c>
      <c r="AE77" t="s">
        <v>101</v>
      </c>
      <c r="AF77" t="s">
        <v>115</v>
      </c>
      <c r="AG77" t="s">
        <v>116</v>
      </c>
      <c r="AH77">
        <v>132.09524505029225</v>
      </c>
      <c r="AI77" t="s">
        <v>47</v>
      </c>
      <c r="AJ77" t="s">
        <v>104</v>
      </c>
      <c r="AK77">
        <v>528.49483569447079</v>
      </c>
      <c r="AL77">
        <v>1</v>
      </c>
      <c r="AM77" s="41" t="s">
        <v>178</v>
      </c>
    </row>
    <row r="78" spans="1:45">
      <c r="A78">
        <v>2607741631</v>
      </c>
      <c r="B78">
        <v>1144011400</v>
      </c>
      <c r="C78" t="s">
        <v>134</v>
      </c>
      <c r="D78" t="s">
        <v>0</v>
      </c>
      <c r="E78" t="s">
        <v>94</v>
      </c>
      <c r="F78" t="s">
        <v>135</v>
      </c>
      <c r="G78">
        <v>2</v>
      </c>
      <c r="H78">
        <v>2</v>
      </c>
      <c r="I78">
        <v>65000</v>
      </c>
      <c r="J78">
        <v>0</v>
      </c>
      <c r="K78" t="s">
        <v>297</v>
      </c>
      <c r="L78">
        <v>90</v>
      </c>
      <c r="M78">
        <v>27</v>
      </c>
      <c r="N78">
        <v>2407</v>
      </c>
      <c r="O78">
        <v>70</v>
      </c>
      <c r="P78">
        <v>21</v>
      </c>
      <c r="Q78">
        <v>3095</v>
      </c>
      <c r="R78" t="s">
        <v>145</v>
      </c>
      <c r="S78" s="40">
        <v>46062</v>
      </c>
      <c r="T78">
        <v>37.548369000000001</v>
      </c>
      <c r="U78">
        <v>126.92944799999999</v>
      </c>
      <c r="V78" t="s">
        <v>478</v>
      </c>
      <c r="W78" t="s">
        <v>479</v>
      </c>
      <c r="X78">
        <v>1</v>
      </c>
      <c r="Y78">
        <v>0</v>
      </c>
      <c r="Z78">
        <v>0</v>
      </c>
      <c r="AA78" t="s">
        <v>176</v>
      </c>
      <c r="AB78" t="s">
        <v>480</v>
      </c>
      <c r="AC78">
        <v>65000</v>
      </c>
      <c r="AD78">
        <v>0</v>
      </c>
      <c r="AE78" t="s">
        <v>101</v>
      </c>
      <c r="AF78" t="s">
        <v>481</v>
      </c>
      <c r="AG78" t="s">
        <v>103</v>
      </c>
      <c r="AH78">
        <v>353.10489569662644</v>
      </c>
      <c r="AI78" t="s">
        <v>47</v>
      </c>
      <c r="AJ78" t="s">
        <v>104</v>
      </c>
      <c r="AK78">
        <v>1239.2769741190828</v>
      </c>
      <c r="AL78" t="s">
        <v>105</v>
      </c>
      <c r="AM78" s="41" t="s">
        <v>482</v>
      </c>
      <c r="AN78">
        <f t="shared" ref="AN78:AN79" si="35">IFERROR(VALUE(LEFT($W78,FIND("년",$W78)-1)),"")</f>
        <v>25</v>
      </c>
      <c r="AO78" t="str">
        <f t="shared" ref="AO78:AO79" si="36">IFERROR(IF(FIND("년",$W78)=3,MID($W78,FIND("년",$W78)+1,FIND("년",$W78)-1),MID($W78,FIND("년",$W78)+1,FIND("년",$W78))),"")</f>
        <v>이내</v>
      </c>
      <c r="AP78">
        <f t="shared" ref="AP78:AP79" si="37">IFERROR(IF($AN78&lt;11,10,IF(AND($AN78&lt;26,$AO78="이내"),25,26)),"")</f>
        <v>25</v>
      </c>
      <c r="AQ78">
        <f t="shared" ref="AQ78:AQ79" si="38">IFERROR(IF($P78&lt;10,9,IF($P78&lt;20,10,IF($P78&lt;30,20,IF($P78&lt;40,30,40)))),"")</f>
        <v>20</v>
      </c>
      <c r="AR78" t="str">
        <f t="shared" ref="AR78:AR79" si="39">IFERROR(IF($D78="상가",IF($G78="1","1층",IF($G78="전체층","전체층",IF(LEFT($G78,1)="B","B1",IF($G78&lt;6,"저",IF($G78/$H78&lt;=$BC$9,"저",IF($G78/$H78&lt;=$BC$10,"중","고")))))),IF(LEFT($G78,1)="B","B1",IF($H78&lt;6,"저",IF($G78/$H78&lt;=$BC$2,"저",IF($G78/$H78&lt;=$BC$3,"중","고"))))),"")</f>
        <v>저</v>
      </c>
      <c r="AS78">
        <f>IFERROR(ACOS(SIN(RADIANS(거래사례!$S$11))*SIN(RADIANS($T78))+COS(RADIANS(거래사례!$S$11))*COS(RADIANS($T78))*COS(RADIANS($U78-거래사례!$P$11)))*6371000,"")</f>
        <v>1271.4203270729938</v>
      </c>
    </row>
    <row r="79" spans="1:45">
      <c r="A79">
        <v>2606892948</v>
      </c>
      <c r="B79">
        <v>1144011000</v>
      </c>
      <c r="C79" t="s">
        <v>211</v>
      </c>
      <c r="D79" t="s">
        <v>0</v>
      </c>
      <c r="E79" t="s">
        <v>94</v>
      </c>
      <c r="F79" t="s">
        <v>95</v>
      </c>
      <c r="G79">
        <v>2</v>
      </c>
      <c r="H79">
        <v>15</v>
      </c>
      <c r="I79">
        <v>129000</v>
      </c>
      <c r="J79">
        <v>0</v>
      </c>
      <c r="K79" t="s">
        <v>483</v>
      </c>
      <c r="L79">
        <v>241</v>
      </c>
      <c r="M79">
        <v>72</v>
      </c>
      <c r="N79">
        <v>1791</v>
      </c>
      <c r="O79">
        <v>138.84</v>
      </c>
      <c r="P79">
        <v>41</v>
      </c>
      <c r="Q79">
        <v>3146</v>
      </c>
      <c r="R79" t="s">
        <v>96</v>
      </c>
      <c r="S79" s="40">
        <v>46057</v>
      </c>
      <c r="T79">
        <v>37.554628999999998</v>
      </c>
      <c r="U79">
        <v>126.93556100000001</v>
      </c>
      <c r="V79" t="s">
        <v>484</v>
      </c>
      <c r="W79" t="s">
        <v>485</v>
      </c>
      <c r="X79">
        <v>1</v>
      </c>
      <c r="Y79">
        <v>0</v>
      </c>
      <c r="Z79">
        <v>0</v>
      </c>
      <c r="AA79" t="s">
        <v>139</v>
      </c>
      <c r="AB79" t="s">
        <v>486</v>
      </c>
      <c r="AC79">
        <v>129000</v>
      </c>
      <c r="AD79">
        <v>0</v>
      </c>
      <c r="AE79" t="s">
        <v>101</v>
      </c>
      <c r="AF79" t="s">
        <v>436</v>
      </c>
      <c r="AG79" t="s">
        <v>437</v>
      </c>
      <c r="AH79">
        <v>222.74311577635876</v>
      </c>
      <c r="AI79" t="s">
        <v>47</v>
      </c>
      <c r="AJ79" t="s">
        <v>104</v>
      </c>
      <c r="AK79">
        <v>973.74206182417038</v>
      </c>
      <c r="AL79" t="s">
        <v>105</v>
      </c>
      <c r="AM79" s="41" t="s">
        <v>487</v>
      </c>
      <c r="AN79">
        <f t="shared" si="35"/>
        <v>25</v>
      </c>
      <c r="AO79" t="str">
        <f t="shared" si="36"/>
        <v>이내</v>
      </c>
      <c r="AP79">
        <f t="shared" si="37"/>
        <v>25</v>
      </c>
      <c r="AQ79">
        <f t="shared" si="38"/>
        <v>40</v>
      </c>
      <c r="AR79" t="str">
        <f t="shared" si="39"/>
        <v>저</v>
      </c>
      <c r="AS79">
        <f>IFERROR(ACOS(SIN(RADIANS(거래사례!$S$11))*SIN(RADIANS($T79))+COS(RADIANS(거래사례!$S$11))*COS(RADIANS($T79))*COS(RADIANS($U79-거래사례!$P$11)))*6371000,"")</f>
        <v>805.23316158441833</v>
      </c>
    </row>
    <row r="80" spans="1:45" hidden="1">
      <c r="A80">
        <v>2607674838</v>
      </c>
      <c r="B80">
        <v>1144012200</v>
      </c>
      <c r="C80" t="s">
        <v>93</v>
      </c>
      <c r="D80" t="s">
        <v>0</v>
      </c>
      <c r="E80" t="s">
        <v>94</v>
      </c>
      <c r="F80" t="s">
        <v>108</v>
      </c>
      <c r="G80">
        <v>1</v>
      </c>
      <c r="H80">
        <v>2</v>
      </c>
      <c r="I80">
        <v>30000</v>
      </c>
      <c r="J80">
        <v>0</v>
      </c>
      <c r="K80" t="s">
        <v>183</v>
      </c>
      <c r="L80">
        <v>15</v>
      </c>
      <c r="M80">
        <v>4</v>
      </c>
      <c r="N80">
        <v>7500</v>
      </c>
      <c r="O80">
        <v>12.28</v>
      </c>
      <c r="P80">
        <v>3</v>
      </c>
      <c r="Q80">
        <v>10000</v>
      </c>
      <c r="R80" t="s">
        <v>154</v>
      </c>
      <c r="S80" s="40">
        <v>46062</v>
      </c>
      <c r="T80">
        <v>37.550787</v>
      </c>
      <c r="U80">
        <v>126.904977</v>
      </c>
      <c r="V80" t="s">
        <v>390</v>
      </c>
      <c r="W80" t="s">
        <v>391</v>
      </c>
      <c r="X80">
        <v>1</v>
      </c>
      <c r="Y80">
        <v>0</v>
      </c>
      <c r="Z80">
        <v>0</v>
      </c>
      <c r="AA80" t="s">
        <v>99</v>
      </c>
      <c r="AB80" t="s">
        <v>100</v>
      </c>
      <c r="AC80">
        <v>30000</v>
      </c>
      <c r="AD80">
        <v>0</v>
      </c>
      <c r="AE80" t="s">
        <v>101</v>
      </c>
      <c r="AF80" t="s">
        <v>102</v>
      </c>
      <c r="AG80" t="s">
        <v>103</v>
      </c>
      <c r="AH80">
        <v>813.07801676537565</v>
      </c>
      <c r="AI80" t="s">
        <v>47</v>
      </c>
      <c r="AJ80" t="s">
        <v>104</v>
      </c>
      <c r="AK80">
        <v>1506.5470583631211</v>
      </c>
      <c r="AL80" t="s">
        <v>105</v>
      </c>
      <c r="AM80" s="41" t="s">
        <v>392</v>
      </c>
    </row>
    <row r="81" spans="1:56" hidden="1">
      <c r="A81">
        <v>2609235297</v>
      </c>
      <c r="B81">
        <v>1144012200</v>
      </c>
      <c r="C81" t="s">
        <v>93</v>
      </c>
      <c r="D81" t="s">
        <v>0</v>
      </c>
      <c r="E81" t="s">
        <v>94</v>
      </c>
      <c r="F81" t="s">
        <v>108</v>
      </c>
      <c r="G81">
        <v>1</v>
      </c>
      <c r="H81">
        <v>2</v>
      </c>
      <c r="I81">
        <v>32000</v>
      </c>
      <c r="J81">
        <v>0</v>
      </c>
      <c r="K81" t="s">
        <v>291</v>
      </c>
      <c r="L81">
        <v>15</v>
      </c>
      <c r="M81">
        <v>4</v>
      </c>
      <c r="N81">
        <v>8000</v>
      </c>
      <c r="O81">
        <v>10.07</v>
      </c>
      <c r="P81">
        <v>3</v>
      </c>
      <c r="Q81">
        <v>10667</v>
      </c>
      <c r="R81" t="s">
        <v>154</v>
      </c>
      <c r="S81" s="40">
        <v>46072</v>
      </c>
      <c r="T81">
        <v>37.550787</v>
      </c>
      <c r="U81">
        <v>126.904977</v>
      </c>
      <c r="V81" t="s">
        <v>393</v>
      </c>
      <c r="W81" t="s">
        <v>391</v>
      </c>
      <c r="X81">
        <v>1</v>
      </c>
      <c r="Y81">
        <v>0</v>
      </c>
      <c r="Z81">
        <v>0</v>
      </c>
      <c r="AA81" t="s">
        <v>99</v>
      </c>
      <c r="AB81" t="s">
        <v>100</v>
      </c>
      <c r="AC81">
        <v>32000</v>
      </c>
      <c r="AD81">
        <v>0</v>
      </c>
      <c r="AE81" t="s">
        <v>101</v>
      </c>
      <c r="AF81" t="s">
        <v>102</v>
      </c>
      <c r="AG81" t="s">
        <v>103</v>
      </c>
      <c r="AH81">
        <v>813.07801676537565</v>
      </c>
      <c r="AI81" t="s">
        <v>47</v>
      </c>
      <c r="AJ81" t="s">
        <v>104</v>
      </c>
      <c r="AK81">
        <v>1506.5470583631211</v>
      </c>
      <c r="AL81" t="s">
        <v>105</v>
      </c>
      <c r="AM81" s="41" t="s">
        <v>392</v>
      </c>
    </row>
    <row r="82" spans="1:56" hidden="1">
      <c r="A82">
        <v>2609193129</v>
      </c>
      <c r="B82">
        <v>1156012900</v>
      </c>
      <c r="C82" t="s">
        <v>93</v>
      </c>
      <c r="D82" t="s">
        <v>0</v>
      </c>
      <c r="E82" t="s">
        <v>94</v>
      </c>
      <c r="F82" t="s">
        <v>95</v>
      </c>
      <c r="G82">
        <v>1</v>
      </c>
      <c r="H82">
        <v>15</v>
      </c>
      <c r="I82">
        <v>150000</v>
      </c>
      <c r="J82">
        <v>0</v>
      </c>
      <c r="K82" t="s">
        <v>144</v>
      </c>
      <c r="L82">
        <v>83</v>
      </c>
      <c r="M82">
        <v>25</v>
      </c>
      <c r="N82">
        <v>6000</v>
      </c>
      <c r="O82">
        <v>48.45</v>
      </c>
      <c r="P82">
        <v>14</v>
      </c>
      <c r="Q82">
        <v>10714</v>
      </c>
      <c r="R82" t="s">
        <v>96</v>
      </c>
      <c r="S82" s="40">
        <v>46072</v>
      </c>
      <c r="T82">
        <v>37.539462999999998</v>
      </c>
      <c r="U82">
        <v>126.894358</v>
      </c>
      <c r="V82" t="s">
        <v>374</v>
      </c>
      <c r="W82" t="s">
        <v>375</v>
      </c>
      <c r="X82">
        <v>1</v>
      </c>
      <c r="Y82">
        <v>0</v>
      </c>
      <c r="Z82">
        <v>0</v>
      </c>
      <c r="AA82" t="s">
        <v>99</v>
      </c>
      <c r="AB82" t="s">
        <v>376</v>
      </c>
      <c r="AC82">
        <v>150000</v>
      </c>
      <c r="AD82">
        <v>0</v>
      </c>
      <c r="AE82" t="s">
        <v>101</v>
      </c>
      <c r="AF82" t="s">
        <v>158</v>
      </c>
      <c r="AG82" t="s">
        <v>159</v>
      </c>
      <c r="AH82">
        <v>102.47427305914258</v>
      </c>
      <c r="AI82" t="s">
        <v>49</v>
      </c>
      <c r="AJ82" t="s">
        <v>104</v>
      </c>
      <c r="AK82">
        <v>200.82111841810917</v>
      </c>
      <c r="AL82">
        <v>1</v>
      </c>
      <c r="AM82" s="41" t="s">
        <v>377</v>
      </c>
    </row>
    <row r="83" spans="1:56" hidden="1">
      <c r="A83">
        <v>2607366979</v>
      </c>
      <c r="B83">
        <v>1144012000</v>
      </c>
      <c r="C83" t="s">
        <v>211</v>
      </c>
      <c r="D83" t="s">
        <v>0</v>
      </c>
      <c r="E83" t="s">
        <v>94</v>
      </c>
      <c r="F83" t="s">
        <v>135</v>
      </c>
      <c r="G83" t="s">
        <v>35</v>
      </c>
      <c r="H83">
        <v>35</v>
      </c>
      <c r="I83">
        <v>70000</v>
      </c>
      <c r="J83">
        <v>0</v>
      </c>
      <c r="K83" t="s">
        <v>225</v>
      </c>
      <c r="L83">
        <v>50</v>
      </c>
      <c r="M83">
        <v>15</v>
      </c>
      <c r="N83">
        <v>4666</v>
      </c>
      <c r="O83">
        <v>22.53</v>
      </c>
      <c r="P83">
        <v>6</v>
      </c>
      <c r="Q83">
        <v>11667</v>
      </c>
      <c r="R83" t="s">
        <v>145</v>
      </c>
      <c r="S83" s="40">
        <v>46059</v>
      </c>
      <c r="T83">
        <v>37.550941999999999</v>
      </c>
      <c r="U83">
        <v>126.913787</v>
      </c>
      <c r="V83" t="s">
        <v>394</v>
      </c>
      <c r="W83" t="s">
        <v>395</v>
      </c>
      <c r="X83">
        <v>1</v>
      </c>
      <c r="Y83">
        <v>0</v>
      </c>
      <c r="Z83">
        <v>0</v>
      </c>
      <c r="AA83" t="s">
        <v>99</v>
      </c>
      <c r="AB83" t="s">
        <v>396</v>
      </c>
      <c r="AC83">
        <v>70000</v>
      </c>
      <c r="AD83">
        <v>0</v>
      </c>
      <c r="AE83" t="s">
        <v>101</v>
      </c>
      <c r="AF83" t="s">
        <v>115</v>
      </c>
      <c r="AG83" t="s">
        <v>116</v>
      </c>
      <c r="AH83">
        <v>132.09524505029225</v>
      </c>
      <c r="AI83" t="s">
        <v>47</v>
      </c>
      <c r="AJ83" t="s">
        <v>104</v>
      </c>
      <c r="AK83">
        <v>528.49483569447079</v>
      </c>
      <c r="AL83">
        <v>1</v>
      </c>
      <c r="AM83" s="41" t="s">
        <v>178</v>
      </c>
    </row>
    <row r="84" spans="1:56" hidden="1">
      <c r="A84">
        <v>2611037574</v>
      </c>
      <c r="B84">
        <v>1144012000</v>
      </c>
      <c r="C84" t="s">
        <v>134</v>
      </c>
      <c r="D84" t="s">
        <v>0</v>
      </c>
      <c r="E84" t="s">
        <v>94</v>
      </c>
      <c r="F84" t="s">
        <v>135</v>
      </c>
      <c r="G84" t="s">
        <v>35</v>
      </c>
      <c r="H84">
        <v>2</v>
      </c>
      <c r="I84">
        <v>73000</v>
      </c>
      <c r="J84">
        <v>0</v>
      </c>
      <c r="K84" t="s">
        <v>397</v>
      </c>
      <c r="L84">
        <v>49</v>
      </c>
      <c r="M84">
        <v>14</v>
      </c>
      <c r="N84">
        <v>5214</v>
      </c>
      <c r="O84">
        <v>22.19</v>
      </c>
      <c r="P84">
        <v>6</v>
      </c>
      <c r="Q84">
        <v>12167</v>
      </c>
      <c r="R84" t="s">
        <v>154</v>
      </c>
      <c r="S84" s="40">
        <v>46080</v>
      </c>
      <c r="T84">
        <v>37.550941000000002</v>
      </c>
      <c r="U84">
        <v>126.913787</v>
      </c>
      <c r="V84" t="s">
        <v>398</v>
      </c>
      <c r="W84" t="s">
        <v>189</v>
      </c>
      <c r="X84">
        <v>1</v>
      </c>
      <c r="Y84">
        <v>0</v>
      </c>
      <c r="Z84">
        <v>0</v>
      </c>
      <c r="AA84" t="s">
        <v>148</v>
      </c>
      <c r="AB84" t="s">
        <v>325</v>
      </c>
      <c r="AC84">
        <v>73000</v>
      </c>
      <c r="AD84">
        <v>0</v>
      </c>
      <c r="AE84" t="s">
        <v>101</v>
      </c>
      <c r="AF84" t="s">
        <v>115</v>
      </c>
      <c r="AG84" t="s">
        <v>116</v>
      </c>
      <c r="AH84">
        <v>132.01770664783839</v>
      </c>
      <c r="AI84" t="s">
        <v>47</v>
      </c>
      <c r="AJ84" t="s">
        <v>104</v>
      </c>
      <c r="AK84">
        <v>528.48255152744889</v>
      </c>
      <c r="AL84">
        <v>1</v>
      </c>
      <c r="AM84" s="41" t="s">
        <v>178</v>
      </c>
    </row>
    <row r="85" spans="1:56" hidden="1">
      <c r="A85">
        <v>2611727179</v>
      </c>
      <c r="B85">
        <v>1144012000</v>
      </c>
      <c r="C85" t="s">
        <v>211</v>
      </c>
      <c r="D85" t="s">
        <v>0</v>
      </c>
      <c r="E85" t="s">
        <v>94</v>
      </c>
      <c r="F85" t="s">
        <v>95</v>
      </c>
      <c r="G85">
        <v>1</v>
      </c>
      <c r="H85">
        <v>24</v>
      </c>
      <c r="I85">
        <v>198000</v>
      </c>
      <c r="J85">
        <v>0</v>
      </c>
      <c r="K85" t="s">
        <v>399</v>
      </c>
      <c r="L85">
        <v>96</v>
      </c>
      <c r="M85">
        <v>29</v>
      </c>
      <c r="N85">
        <v>6827</v>
      </c>
      <c r="O85">
        <v>53.25</v>
      </c>
      <c r="P85">
        <v>16</v>
      </c>
      <c r="Q85">
        <v>12375</v>
      </c>
      <c r="R85" t="s">
        <v>96</v>
      </c>
      <c r="S85" s="40">
        <v>46084</v>
      </c>
      <c r="T85">
        <v>37.550803000000002</v>
      </c>
      <c r="U85">
        <v>126.91672199999999</v>
      </c>
      <c r="V85" t="s">
        <v>400</v>
      </c>
      <c r="W85" t="s">
        <v>401</v>
      </c>
      <c r="X85">
        <v>1</v>
      </c>
      <c r="Y85">
        <v>0</v>
      </c>
      <c r="Z85">
        <v>0</v>
      </c>
      <c r="AA85" t="s">
        <v>139</v>
      </c>
      <c r="AB85" t="s">
        <v>402</v>
      </c>
      <c r="AC85">
        <v>198000</v>
      </c>
      <c r="AD85">
        <v>0</v>
      </c>
      <c r="AE85" t="s">
        <v>101</v>
      </c>
      <c r="AF85" t="s">
        <v>115</v>
      </c>
      <c r="AG85" t="s">
        <v>116</v>
      </c>
      <c r="AH85">
        <v>244.27878031988089</v>
      </c>
      <c r="AI85" t="s">
        <v>47</v>
      </c>
      <c r="AJ85" t="s">
        <v>104</v>
      </c>
      <c r="AK85">
        <v>203.1206532669033</v>
      </c>
      <c r="AL85">
        <v>1</v>
      </c>
      <c r="AM85" s="41" t="s">
        <v>348</v>
      </c>
    </row>
    <row r="86" spans="1:56">
      <c r="A86">
        <v>2606892948</v>
      </c>
      <c r="B86">
        <v>1144011000</v>
      </c>
      <c r="C86" t="s">
        <v>211</v>
      </c>
      <c r="D86" t="s">
        <v>0</v>
      </c>
      <c r="E86" t="s">
        <v>94</v>
      </c>
      <c r="F86" t="s">
        <v>95</v>
      </c>
      <c r="G86">
        <v>2</v>
      </c>
      <c r="H86">
        <v>15</v>
      </c>
      <c r="I86">
        <v>129000</v>
      </c>
      <c r="J86">
        <v>0</v>
      </c>
      <c r="K86" t="s">
        <v>483</v>
      </c>
      <c r="L86">
        <v>241</v>
      </c>
      <c r="M86">
        <v>72</v>
      </c>
      <c r="N86">
        <v>1791</v>
      </c>
      <c r="O86">
        <v>138.84</v>
      </c>
      <c r="P86">
        <v>41</v>
      </c>
      <c r="Q86">
        <v>3146</v>
      </c>
      <c r="R86" t="s">
        <v>96</v>
      </c>
      <c r="S86" s="40">
        <v>46057</v>
      </c>
      <c r="T86">
        <v>37.554628999999998</v>
      </c>
      <c r="U86">
        <v>126.93556100000001</v>
      </c>
      <c r="V86" t="s">
        <v>484</v>
      </c>
      <c r="W86" t="s">
        <v>485</v>
      </c>
      <c r="X86">
        <v>1</v>
      </c>
      <c r="Y86">
        <v>0</v>
      </c>
      <c r="Z86">
        <v>0</v>
      </c>
      <c r="AA86" t="s">
        <v>139</v>
      </c>
      <c r="AB86" t="s">
        <v>486</v>
      </c>
      <c r="AC86">
        <v>129000</v>
      </c>
      <c r="AD86">
        <v>0</v>
      </c>
      <c r="AE86" t="s">
        <v>101</v>
      </c>
      <c r="AF86" t="s">
        <v>436</v>
      </c>
      <c r="AG86" t="s">
        <v>437</v>
      </c>
      <c r="AH86">
        <v>222.74311577635876</v>
      </c>
      <c r="AI86" t="s">
        <v>47</v>
      </c>
      <c r="AJ86" t="s">
        <v>104</v>
      </c>
      <c r="AK86">
        <v>973.74206182417038</v>
      </c>
      <c r="AL86" t="s">
        <v>105</v>
      </c>
      <c r="AM86" s="41" t="s">
        <v>487</v>
      </c>
      <c r="AN86">
        <f>IFERROR(VALUE(LEFT($W86,FIND("년",$W86)-1)),"")</f>
        <v>25</v>
      </c>
      <c r="AO86" t="str">
        <f>IFERROR(IF(FIND("년",$W86)=3,MID($W86,FIND("년",$W86)+1,FIND("년",$W86)-1),MID($W86,FIND("년",$W86)+1,FIND("년",$W86))),"")</f>
        <v>이내</v>
      </c>
      <c r="AP86">
        <f>IFERROR(IF($AN86&lt;11,10,IF(AND($AN86&lt;26,$AO86="이내"),25,26)),"")</f>
        <v>25</v>
      </c>
      <c r="AQ86">
        <f>IFERROR(IF($P86&lt;10,9,IF($P86&lt;20,10,IF($P86&lt;30,20,IF($P86&lt;40,30,40)))),"")</f>
        <v>40</v>
      </c>
      <c r="AR86" t="str">
        <f>IFERROR(IF($D86="상가",IF($G86="1","1층",IF($G86="전체층","전체층",IF(LEFT($G86,1)="B","B1",IF($G86&lt;6,"저",IF($G86/$H86&lt;=$BC$9,"저",IF($G86/$H86&lt;=$BC$10,"중","고")))))),IF(LEFT($G86,1)="B","B1",IF($H86&lt;6,"저",IF($G86/$H86&lt;=$BC$2,"저",IF($G86/$H86&lt;=$BC$3,"중","고"))))),"")</f>
        <v>저</v>
      </c>
      <c r="AS86">
        <f>IFERROR(ACOS(SIN(RADIANS(거래사례!$S$11))*SIN(RADIANS($T86))+COS(RADIANS(거래사례!$S$11))*COS(RADIANS($T86))*COS(RADIANS($U86-거래사례!$P$11)))*6371000,"")</f>
        <v>805.23316158441833</v>
      </c>
    </row>
    <row r="87" spans="1:56" hidden="1">
      <c r="A87">
        <v>2611178271</v>
      </c>
      <c r="B87">
        <v>1144012000</v>
      </c>
      <c r="C87" t="s">
        <v>134</v>
      </c>
      <c r="D87" t="s">
        <v>0</v>
      </c>
      <c r="E87" t="s">
        <v>94</v>
      </c>
      <c r="F87" t="s">
        <v>108</v>
      </c>
      <c r="G87">
        <v>1</v>
      </c>
      <c r="H87">
        <v>24</v>
      </c>
      <c r="I87">
        <v>220000</v>
      </c>
      <c r="J87">
        <v>0</v>
      </c>
      <c r="K87" t="s">
        <v>406</v>
      </c>
      <c r="L87">
        <v>55</v>
      </c>
      <c r="M87">
        <v>16</v>
      </c>
      <c r="N87">
        <v>13750</v>
      </c>
      <c r="O87">
        <v>55.74</v>
      </c>
      <c r="P87">
        <v>16</v>
      </c>
      <c r="Q87">
        <v>13750</v>
      </c>
      <c r="R87" t="s">
        <v>121</v>
      </c>
      <c r="S87" s="40">
        <v>46081</v>
      </c>
      <c r="T87">
        <v>37.550803000000002</v>
      </c>
      <c r="U87">
        <v>126.91672199999999</v>
      </c>
      <c r="V87" t="s">
        <v>407</v>
      </c>
      <c r="W87" t="s">
        <v>408</v>
      </c>
      <c r="X87">
        <v>1</v>
      </c>
      <c r="Y87">
        <v>0</v>
      </c>
      <c r="Z87">
        <v>0</v>
      </c>
      <c r="AA87" t="s">
        <v>139</v>
      </c>
      <c r="AB87" t="s">
        <v>337</v>
      </c>
      <c r="AC87">
        <v>220000</v>
      </c>
      <c r="AD87">
        <v>0</v>
      </c>
      <c r="AE87" t="s">
        <v>101</v>
      </c>
      <c r="AF87" t="s">
        <v>115</v>
      </c>
      <c r="AG87" t="s">
        <v>116</v>
      </c>
      <c r="AH87">
        <v>244.27878031988089</v>
      </c>
      <c r="AI87" t="s">
        <v>47</v>
      </c>
      <c r="AJ87" t="s">
        <v>104</v>
      </c>
      <c r="AK87">
        <v>203.1206532669033</v>
      </c>
      <c r="AL87">
        <v>1</v>
      </c>
      <c r="AM87" s="41" t="s">
        <v>348</v>
      </c>
    </row>
    <row r="88" spans="1:56" hidden="1">
      <c r="A88">
        <v>2607463530</v>
      </c>
      <c r="B88">
        <v>1144012000</v>
      </c>
      <c r="C88" t="s">
        <v>93</v>
      </c>
      <c r="D88" t="s">
        <v>0</v>
      </c>
      <c r="E88" t="s">
        <v>94</v>
      </c>
      <c r="F88" t="s">
        <v>108</v>
      </c>
      <c r="G88">
        <v>1</v>
      </c>
      <c r="H88">
        <v>24</v>
      </c>
      <c r="I88">
        <v>220000</v>
      </c>
      <c r="J88">
        <v>0</v>
      </c>
      <c r="K88" t="s">
        <v>406</v>
      </c>
      <c r="L88">
        <v>101</v>
      </c>
      <c r="M88">
        <v>30</v>
      </c>
      <c r="N88">
        <v>7333</v>
      </c>
      <c r="O88">
        <v>55.74</v>
      </c>
      <c r="P88">
        <v>16</v>
      </c>
      <c r="Q88">
        <v>13750</v>
      </c>
      <c r="R88" t="s">
        <v>208</v>
      </c>
      <c r="S88" s="40">
        <v>46060</v>
      </c>
      <c r="T88">
        <v>37.550803000000002</v>
      </c>
      <c r="U88">
        <v>126.91672199999999</v>
      </c>
      <c r="V88" t="s">
        <v>409</v>
      </c>
      <c r="W88" t="s">
        <v>410</v>
      </c>
      <c r="X88">
        <v>1</v>
      </c>
      <c r="Y88">
        <v>0</v>
      </c>
      <c r="Z88">
        <v>0</v>
      </c>
      <c r="AA88" t="s">
        <v>113</v>
      </c>
      <c r="AB88" t="s">
        <v>411</v>
      </c>
      <c r="AC88">
        <v>220000</v>
      </c>
      <c r="AD88">
        <v>0</v>
      </c>
      <c r="AE88" t="s">
        <v>101</v>
      </c>
      <c r="AF88" t="s">
        <v>115</v>
      </c>
      <c r="AG88" t="s">
        <v>116</v>
      </c>
      <c r="AH88">
        <v>244.27878031988089</v>
      </c>
      <c r="AI88" t="s">
        <v>47</v>
      </c>
      <c r="AJ88" t="s">
        <v>104</v>
      </c>
      <c r="AK88">
        <v>203.1206532669033</v>
      </c>
      <c r="AL88">
        <v>1</v>
      </c>
      <c r="AM88" s="41" t="s">
        <v>348</v>
      </c>
    </row>
    <row r="89" spans="1:56">
      <c r="A89">
        <v>2611491867</v>
      </c>
      <c r="B89">
        <v>1141011700</v>
      </c>
      <c r="C89" t="s">
        <v>93</v>
      </c>
      <c r="D89" t="s">
        <v>0</v>
      </c>
      <c r="E89" t="s">
        <v>94</v>
      </c>
      <c r="F89" t="s">
        <v>95</v>
      </c>
      <c r="G89">
        <v>2</v>
      </c>
      <c r="H89">
        <v>2</v>
      </c>
      <c r="I89">
        <v>920000</v>
      </c>
      <c r="J89">
        <v>0</v>
      </c>
      <c r="K89" t="s">
        <v>659</v>
      </c>
      <c r="L89">
        <v>906</v>
      </c>
      <c r="M89">
        <v>274</v>
      </c>
      <c r="N89">
        <v>3357</v>
      </c>
      <c r="O89">
        <v>906.26</v>
      </c>
      <c r="P89">
        <v>274</v>
      </c>
      <c r="Q89">
        <v>3358</v>
      </c>
      <c r="R89" t="s">
        <v>96</v>
      </c>
      <c r="S89" s="40">
        <v>46084</v>
      </c>
      <c r="T89">
        <v>37.568435000000001</v>
      </c>
      <c r="U89">
        <v>126.929733</v>
      </c>
      <c r="V89" t="s">
        <v>660</v>
      </c>
      <c r="W89" t="s">
        <v>661</v>
      </c>
      <c r="X89">
        <v>2</v>
      </c>
      <c r="Y89" t="s">
        <v>659</v>
      </c>
      <c r="Z89" t="s">
        <v>659</v>
      </c>
      <c r="AA89" t="s">
        <v>113</v>
      </c>
      <c r="AB89" t="s">
        <v>662</v>
      </c>
      <c r="AC89">
        <v>920000</v>
      </c>
      <c r="AD89">
        <v>0</v>
      </c>
      <c r="AE89" t="s">
        <v>101</v>
      </c>
      <c r="AF89" t="s">
        <v>165</v>
      </c>
      <c r="AG89" t="s">
        <v>166</v>
      </c>
      <c r="AH89">
        <v>1140.5978090751728</v>
      </c>
      <c r="AI89" t="s">
        <v>47</v>
      </c>
      <c r="AJ89" t="s">
        <v>104</v>
      </c>
      <c r="AK89">
        <v>176.73737570830667</v>
      </c>
      <c r="AL89">
        <v>1</v>
      </c>
      <c r="AM89" s="41" t="s">
        <v>663</v>
      </c>
      <c r="AN89">
        <f t="shared" ref="AN89:AN94" si="40">IFERROR(VALUE(LEFT($W89,FIND("년",$W89)-1)),"")</f>
        <v>25</v>
      </c>
      <c r="AO89" t="str">
        <f t="shared" ref="AO89:AO94" si="41">IFERROR(IF(FIND("년",$W89)=3,MID($W89,FIND("년",$W89)+1,FIND("년",$W89)-1),MID($W89,FIND("년",$W89)+1,FIND("년",$W89))),"")</f>
        <v>이상</v>
      </c>
      <c r="AP89">
        <f t="shared" ref="AP89:AP94" si="42">IFERROR(IF($AN89&lt;11,10,IF(AND($AN89&lt;26,$AO89="이내"),25,26)),"")</f>
        <v>26</v>
      </c>
      <c r="AQ89">
        <f t="shared" ref="AQ89:AQ94" si="43">IFERROR(IF($P89&lt;10,9,IF($P89&lt;20,10,IF($P89&lt;30,20,IF($P89&lt;40,30,40)))),"")</f>
        <v>40</v>
      </c>
      <c r="AR89" t="str">
        <f t="shared" ref="AR89:AR94" si="44">IFERROR(IF($D89="상가",IF($G89="1","1층",IF($G89="전체층","전체층",IF(LEFT($G89,1)="B","B1",IF($G89&lt;6,"저",IF($G89/$H89&lt;=$BC$9,"저",IF($G89/$H89&lt;=$BC$10,"중","고")))))),IF(LEFT($G89,1)="B","B1",IF($H89&lt;6,"저",IF($G89/$H89&lt;=$BC$2,"저",IF($G89/$H89&lt;=$BC$3,"중","고"))))),"")</f>
        <v>저</v>
      </c>
      <c r="AS89">
        <f>IFERROR(ACOS(SIN(RADIANS(거래사례!$S$11))*SIN(RADIANS($T89))+COS(RADIANS(거래사례!$S$11))*COS(RADIANS($T89))*COS(RADIANS($U89-거래사례!$P$11)))*6371000,"")</f>
        <v>961.35288210970214</v>
      </c>
    </row>
    <row r="90" spans="1:56">
      <c r="A90">
        <v>2607247170</v>
      </c>
      <c r="B90">
        <v>1144012000</v>
      </c>
      <c r="C90" t="s">
        <v>134</v>
      </c>
      <c r="D90" t="s">
        <v>0</v>
      </c>
      <c r="E90" t="s">
        <v>94</v>
      </c>
      <c r="F90" t="s">
        <v>95</v>
      </c>
      <c r="G90" t="s">
        <v>35</v>
      </c>
      <c r="H90">
        <v>15</v>
      </c>
      <c r="I90">
        <v>500000</v>
      </c>
      <c r="J90">
        <v>0</v>
      </c>
      <c r="K90" t="s">
        <v>198</v>
      </c>
      <c r="L90">
        <v>897</v>
      </c>
      <c r="M90">
        <v>271</v>
      </c>
      <c r="N90">
        <v>1845</v>
      </c>
      <c r="O90">
        <v>483.2</v>
      </c>
      <c r="P90">
        <v>146</v>
      </c>
      <c r="Q90">
        <v>3425</v>
      </c>
      <c r="R90" t="s">
        <v>96</v>
      </c>
      <c r="S90" s="40">
        <v>46059</v>
      </c>
      <c r="T90">
        <v>37.549554999999998</v>
      </c>
      <c r="U90">
        <v>126.914817</v>
      </c>
      <c r="V90" t="s">
        <v>199</v>
      </c>
      <c r="W90" t="s">
        <v>200</v>
      </c>
      <c r="X90">
        <v>1</v>
      </c>
      <c r="Y90">
        <v>0</v>
      </c>
      <c r="Z90">
        <v>0</v>
      </c>
      <c r="AA90" t="s">
        <v>113</v>
      </c>
      <c r="AB90" t="s">
        <v>201</v>
      </c>
      <c r="AC90">
        <v>500000</v>
      </c>
      <c r="AD90">
        <v>0</v>
      </c>
      <c r="AE90" t="s">
        <v>101</v>
      </c>
      <c r="AF90" t="s">
        <v>115</v>
      </c>
      <c r="AG90" t="s">
        <v>116</v>
      </c>
      <c r="AH90">
        <v>65.461937322575565</v>
      </c>
      <c r="AI90" t="s">
        <v>47</v>
      </c>
      <c r="AJ90" t="s">
        <v>104</v>
      </c>
      <c r="AK90">
        <v>421.68102098739234</v>
      </c>
      <c r="AL90">
        <v>1</v>
      </c>
      <c r="AM90" s="41" t="s">
        <v>202</v>
      </c>
      <c r="AN90">
        <f t="shared" si="40"/>
        <v>25</v>
      </c>
      <c r="AO90" t="str">
        <f t="shared" si="41"/>
        <v>이내</v>
      </c>
      <c r="AP90">
        <f t="shared" si="42"/>
        <v>25</v>
      </c>
      <c r="AQ90">
        <f t="shared" si="43"/>
        <v>40</v>
      </c>
      <c r="AR90" t="str">
        <f t="shared" si="44"/>
        <v>B1</v>
      </c>
      <c r="AS90">
        <f>IFERROR(ACOS(SIN(RADIANS(거래사례!$S$11))*SIN(RADIANS($T90))+COS(RADIANS(거래사례!$S$11))*COS(RADIANS($T90))*COS(RADIANS($U90-거래사례!$P$11)))*6371000,"")</f>
        <v>1702.4170017758215</v>
      </c>
    </row>
    <row r="91" spans="1:56">
      <c r="A91">
        <v>2607247170</v>
      </c>
      <c r="B91">
        <v>1144012000</v>
      </c>
      <c r="C91" t="s">
        <v>134</v>
      </c>
      <c r="D91" t="s">
        <v>0</v>
      </c>
      <c r="E91" t="s">
        <v>94</v>
      </c>
      <c r="F91" t="s">
        <v>95</v>
      </c>
      <c r="G91" t="s">
        <v>35</v>
      </c>
      <c r="H91">
        <v>15</v>
      </c>
      <c r="I91">
        <v>500000</v>
      </c>
      <c r="J91">
        <v>0</v>
      </c>
      <c r="K91" t="s">
        <v>198</v>
      </c>
      <c r="L91">
        <v>897</v>
      </c>
      <c r="M91">
        <v>271</v>
      </c>
      <c r="N91">
        <v>1845</v>
      </c>
      <c r="O91">
        <v>483.2</v>
      </c>
      <c r="P91">
        <v>146</v>
      </c>
      <c r="Q91">
        <v>3425</v>
      </c>
      <c r="R91" t="s">
        <v>96</v>
      </c>
      <c r="S91" s="40">
        <v>46059</v>
      </c>
      <c r="T91">
        <v>37.549554999999998</v>
      </c>
      <c r="U91">
        <v>126.914817</v>
      </c>
      <c r="V91" t="s">
        <v>199</v>
      </c>
      <c r="W91" t="s">
        <v>200</v>
      </c>
      <c r="X91">
        <v>1</v>
      </c>
      <c r="Y91">
        <v>0</v>
      </c>
      <c r="Z91">
        <v>0</v>
      </c>
      <c r="AA91" t="s">
        <v>113</v>
      </c>
      <c r="AB91" t="s">
        <v>201</v>
      </c>
      <c r="AC91">
        <v>500000</v>
      </c>
      <c r="AD91">
        <v>0</v>
      </c>
      <c r="AE91" t="s">
        <v>101</v>
      </c>
      <c r="AF91" t="s">
        <v>115</v>
      </c>
      <c r="AG91" t="s">
        <v>116</v>
      </c>
      <c r="AH91">
        <v>65.461937322575565</v>
      </c>
      <c r="AI91" t="s">
        <v>47</v>
      </c>
      <c r="AJ91" t="s">
        <v>104</v>
      </c>
      <c r="AK91">
        <v>421.68102098739234</v>
      </c>
      <c r="AL91">
        <v>1</v>
      </c>
      <c r="AM91" s="41" t="s">
        <v>202</v>
      </c>
      <c r="AN91">
        <f t="shared" si="40"/>
        <v>25</v>
      </c>
      <c r="AO91" t="str">
        <f t="shared" si="41"/>
        <v>이내</v>
      </c>
      <c r="AP91">
        <f t="shared" si="42"/>
        <v>25</v>
      </c>
      <c r="AQ91">
        <f t="shared" si="43"/>
        <v>40</v>
      </c>
      <c r="AR91" t="str">
        <f t="shared" si="44"/>
        <v>B1</v>
      </c>
      <c r="AS91">
        <f>IFERROR(ACOS(SIN(RADIANS(거래사례!$S$11))*SIN(RADIANS($T91))+COS(RADIANS(거래사례!$S$11))*COS(RADIANS($T91))*COS(RADIANS($U91-거래사례!$P$11)))*6371000,"")</f>
        <v>1702.4170017758215</v>
      </c>
      <c r="BB91" t="s">
        <v>107</v>
      </c>
      <c r="BC91">
        <v>0.2</v>
      </c>
      <c r="BD91">
        <v>0</v>
      </c>
    </row>
    <row r="92" spans="1:56">
      <c r="A92">
        <v>2607083764</v>
      </c>
      <c r="B92">
        <v>1144012000</v>
      </c>
      <c r="C92" t="s">
        <v>134</v>
      </c>
      <c r="D92" t="s">
        <v>0</v>
      </c>
      <c r="E92" t="s">
        <v>94</v>
      </c>
      <c r="F92" t="s">
        <v>108</v>
      </c>
      <c r="G92">
        <v>1</v>
      </c>
      <c r="H92">
        <v>12</v>
      </c>
      <c r="I92">
        <v>122000</v>
      </c>
      <c r="J92">
        <v>0</v>
      </c>
      <c r="K92" t="s">
        <v>516</v>
      </c>
      <c r="L92">
        <v>130</v>
      </c>
      <c r="M92">
        <v>39</v>
      </c>
      <c r="N92">
        <v>3128</v>
      </c>
      <c r="O92">
        <v>109.75</v>
      </c>
      <c r="P92">
        <v>33</v>
      </c>
      <c r="Q92">
        <v>3697</v>
      </c>
      <c r="R92" t="s">
        <v>110</v>
      </c>
      <c r="S92" s="40">
        <v>46058</v>
      </c>
      <c r="T92">
        <v>37.557372999999998</v>
      </c>
      <c r="U92">
        <v>126.916798</v>
      </c>
      <c r="V92" t="s">
        <v>517</v>
      </c>
      <c r="W92" t="s">
        <v>470</v>
      </c>
      <c r="X92">
        <v>1</v>
      </c>
      <c r="Y92">
        <v>0</v>
      </c>
      <c r="Z92">
        <v>0</v>
      </c>
      <c r="AA92" t="s">
        <v>113</v>
      </c>
      <c r="AB92" t="s">
        <v>498</v>
      </c>
      <c r="AC92">
        <v>122000</v>
      </c>
      <c r="AD92">
        <v>0</v>
      </c>
      <c r="AE92" t="s">
        <v>101</v>
      </c>
      <c r="AF92" t="s">
        <v>102</v>
      </c>
      <c r="AG92" t="s">
        <v>103</v>
      </c>
      <c r="AH92">
        <v>767.08573569644557</v>
      </c>
      <c r="AI92" t="s">
        <v>47</v>
      </c>
      <c r="AJ92" t="s">
        <v>104</v>
      </c>
      <c r="AK92">
        <v>797.26044038606585</v>
      </c>
      <c r="AL92" t="s">
        <v>105</v>
      </c>
      <c r="AM92" s="41" t="s">
        <v>472</v>
      </c>
      <c r="AN92">
        <f t="shared" si="40"/>
        <v>25</v>
      </c>
      <c r="AO92" t="str">
        <f t="shared" si="41"/>
        <v>이내</v>
      </c>
      <c r="AP92">
        <f t="shared" si="42"/>
        <v>25</v>
      </c>
      <c r="AQ92">
        <f t="shared" si="43"/>
        <v>30</v>
      </c>
      <c r="AR92" t="str">
        <f t="shared" si="44"/>
        <v>저</v>
      </c>
      <c r="AS92">
        <f>IFERROR(ACOS(SIN(RADIANS(거래사례!$S$11))*SIN(RADIANS($T92))+COS(RADIANS(거래사례!$S$11))*COS(RADIANS($T92))*COS(RADIANS($U92-거래사례!$P$11)))*6371000,"")</f>
        <v>1123.2378186324827</v>
      </c>
      <c r="BB92" t="s">
        <v>118</v>
      </c>
      <c r="BC92">
        <v>0.6</v>
      </c>
      <c r="BD92">
        <v>0</v>
      </c>
    </row>
    <row r="93" spans="1:56">
      <c r="A93">
        <v>2607083764</v>
      </c>
      <c r="B93">
        <v>1144012000</v>
      </c>
      <c r="C93" t="s">
        <v>134</v>
      </c>
      <c r="D93" t="s">
        <v>0</v>
      </c>
      <c r="E93" t="s">
        <v>94</v>
      </c>
      <c r="F93" t="s">
        <v>108</v>
      </c>
      <c r="G93">
        <v>1</v>
      </c>
      <c r="H93">
        <v>12</v>
      </c>
      <c r="I93">
        <v>122000</v>
      </c>
      <c r="J93">
        <v>0</v>
      </c>
      <c r="K93" t="s">
        <v>516</v>
      </c>
      <c r="L93">
        <v>130</v>
      </c>
      <c r="M93">
        <v>39</v>
      </c>
      <c r="N93">
        <v>3128</v>
      </c>
      <c r="O93">
        <v>109.75</v>
      </c>
      <c r="P93">
        <v>33</v>
      </c>
      <c r="Q93">
        <v>3697</v>
      </c>
      <c r="R93" t="s">
        <v>110</v>
      </c>
      <c r="S93" s="40">
        <v>46058</v>
      </c>
      <c r="T93">
        <v>37.557372999999998</v>
      </c>
      <c r="U93">
        <v>126.916798</v>
      </c>
      <c r="V93" t="s">
        <v>517</v>
      </c>
      <c r="W93" t="s">
        <v>470</v>
      </c>
      <c r="X93">
        <v>1</v>
      </c>
      <c r="Y93">
        <v>0</v>
      </c>
      <c r="Z93">
        <v>0</v>
      </c>
      <c r="AA93" t="s">
        <v>113</v>
      </c>
      <c r="AB93" t="s">
        <v>498</v>
      </c>
      <c r="AC93">
        <v>122000</v>
      </c>
      <c r="AD93">
        <v>0</v>
      </c>
      <c r="AE93" t="s">
        <v>101</v>
      </c>
      <c r="AF93" t="s">
        <v>102</v>
      </c>
      <c r="AG93" t="s">
        <v>103</v>
      </c>
      <c r="AH93">
        <v>767.08573569644557</v>
      </c>
      <c r="AI93" t="s">
        <v>47</v>
      </c>
      <c r="AJ93" t="s">
        <v>104</v>
      </c>
      <c r="AK93">
        <v>797.26044038606585</v>
      </c>
      <c r="AL93" t="s">
        <v>105</v>
      </c>
      <c r="AM93" s="41" t="s">
        <v>472</v>
      </c>
      <c r="AN93">
        <f t="shared" si="40"/>
        <v>25</v>
      </c>
      <c r="AO93" t="str">
        <f t="shared" si="41"/>
        <v>이내</v>
      </c>
      <c r="AP93">
        <f t="shared" si="42"/>
        <v>25</v>
      </c>
      <c r="AQ93">
        <f t="shared" si="43"/>
        <v>30</v>
      </c>
      <c r="AR93" t="str">
        <f t="shared" si="44"/>
        <v>저</v>
      </c>
      <c r="AS93">
        <f>IFERROR(ACOS(SIN(RADIANS(거래사례!$S$11))*SIN(RADIANS($T93))+COS(RADIANS(거래사례!$S$11))*COS(RADIANS($T93))*COS(RADIANS($U93-거래사례!$P$11)))*6371000,"")</f>
        <v>1123.2378186324827</v>
      </c>
      <c r="BB93" t="s">
        <v>127</v>
      </c>
      <c r="BC93">
        <v>1</v>
      </c>
      <c r="BD93">
        <v>0</v>
      </c>
    </row>
    <row r="94" spans="1:56">
      <c r="A94">
        <v>2607083764</v>
      </c>
      <c r="B94">
        <v>1144012000</v>
      </c>
      <c r="C94" t="s">
        <v>134</v>
      </c>
      <c r="D94" t="s">
        <v>0</v>
      </c>
      <c r="E94" t="s">
        <v>94</v>
      </c>
      <c r="F94" t="s">
        <v>108</v>
      </c>
      <c r="G94">
        <v>1</v>
      </c>
      <c r="H94">
        <v>12</v>
      </c>
      <c r="I94">
        <v>122000</v>
      </c>
      <c r="J94">
        <v>0</v>
      </c>
      <c r="K94" t="s">
        <v>516</v>
      </c>
      <c r="L94">
        <v>130</v>
      </c>
      <c r="M94">
        <v>39</v>
      </c>
      <c r="N94">
        <v>3128</v>
      </c>
      <c r="O94">
        <v>109.75</v>
      </c>
      <c r="P94">
        <v>33</v>
      </c>
      <c r="Q94">
        <v>3697</v>
      </c>
      <c r="R94" t="s">
        <v>110</v>
      </c>
      <c r="S94" s="40">
        <v>46058</v>
      </c>
      <c r="T94">
        <v>37.557372999999998</v>
      </c>
      <c r="U94">
        <v>126.916798</v>
      </c>
      <c r="V94" t="s">
        <v>517</v>
      </c>
      <c r="W94" t="s">
        <v>470</v>
      </c>
      <c r="X94">
        <v>1</v>
      </c>
      <c r="Y94">
        <v>0</v>
      </c>
      <c r="Z94">
        <v>0</v>
      </c>
      <c r="AA94" t="s">
        <v>113</v>
      </c>
      <c r="AB94" t="s">
        <v>498</v>
      </c>
      <c r="AC94">
        <v>122000</v>
      </c>
      <c r="AD94">
        <v>0</v>
      </c>
      <c r="AE94" t="s">
        <v>101</v>
      </c>
      <c r="AF94" t="s">
        <v>102</v>
      </c>
      <c r="AG94" t="s">
        <v>103</v>
      </c>
      <c r="AH94">
        <v>767.08573569644557</v>
      </c>
      <c r="AI94" t="s">
        <v>47</v>
      </c>
      <c r="AJ94" t="s">
        <v>104</v>
      </c>
      <c r="AK94">
        <v>797.26044038606585</v>
      </c>
      <c r="AL94" t="s">
        <v>105</v>
      </c>
      <c r="AM94" s="41" t="s">
        <v>472</v>
      </c>
      <c r="AN94">
        <f t="shared" si="40"/>
        <v>25</v>
      </c>
      <c r="AO94" t="str">
        <f t="shared" si="41"/>
        <v>이내</v>
      </c>
      <c r="AP94">
        <f t="shared" si="42"/>
        <v>25</v>
      </c>
      <c r="AQ94">
        <f t="shared" si="43"/>
        <v>30</v>
      </c>
      <c r="AR94" t="str">
        <f t="shared" si="44"/>
        <v>저</v>
      </c>
      <c r="AS94">
        <f>IFERROR(ACOS(SIN(RADIANS(거래사례!$S$11))*SIN(RADIANS($T94))+COS(RADIANS(거래사례!$S$11))*COS(RADIANS($T94))*COS(RADIANS($U94-거래사례!$P$11)))*6371000,"")</f>
        <v>1123.2378186324827</v>
      </c>
      <c r="BB94" t="s">
        <v>35</v>
      </c>
      <c r="BD94">
        <v>0</v>
      </c>
    </row>
    <row r="95" spans="1:56" hidden="1">
      <c r="A95">
        <v>2607584269</v>
      </c>
      <c r="B95">
        <v>1141011600</v>
      </c>
      <c r="C95" t="s">
        <v>134</v>
      </c>
      <c r="D95" t="s">
        <v>0</v>
      </c>
      <c r="E95" t="s">
        <v>94</v>
      </c>
      <c r="F95" t="s">
        <v>95</v>
      </c>
      <c r="G95" t="s">
        <v>35</v>
      </c>
      <c r="H95">
        <v>15</v>
      </c>
      <c r="I95">
        <v>21000</v>
      </c>
      <c r="J95">
        <v>0</v>
      </c>
      <c r="K95" t="s">
        <v>215</v>
      </c>
      <c r="L95">
        <v>105</v>
      </c>
      <c r="M95">
        <v>31</v>
      </c>
      <c r="N95">
        <v>677</v>
      </c>
      <c r="O95">
        <v>47.56</v>
      </c>
      <c r="P95">
        <v>14</v>
      </c>
      <c r="Q95">
        <v>1500</v>
      </c>
      <c r="R95" t="s">
        <v>110</v>
      </c>
      <c r="S95" s="40">
        <v>46060</v>
      </c>
      <c r="T95">
        <v>37.556063999999999</v>
      </c>
      <c r="U95">
        <v>126.93825</v>
      </c>
      <c r="V95" t="s">
        <v>433</v>
      </c>
      <c r="W95" t="s">
        <v>434</v>
      </c>
      <c r="X95">
        <v>1</v>
      </c>
      <c r="Y95">
        <v>0</v>
      </c>
      <c r="Z95">
        <v>0</v>
      </c>
      <c r="AA95" t="s">
        <v>139</v>
      </c>
      <c r="AB95" t="s">
        <v>435</v>
      </c>
      <c r="AC95">
        <v>21000</v>
      </c>
      <c r="AD95">
        <v>0</v>
      </c>
      <c r="AE95" t="s">
        <v>101</v>
      </c>
      <c r="AF95" t="s">
        <v>436</v>
      </c>
      <c r="AG95" t="s">
        <v>437</v>
      </c>
      <c r="AH95">
        <v>172.70504045212317</v>
      </c>
      <c r="AI95" t="s">
        <v>48</v>
      </c>
      <c r="AJ95" t="s">
        <v>104</v>
      </c>
      <c r="AK95">
        <v>639.01446691631702</v>
      </c>
      <c r="AL95" t="s">
        <v>105</v>
      </c>
      <c r="AM95" s="41" t="s">
        <v>438</v>
      </c>
    </row>
    <row r="96" spans="1:56" hidden="1">
      <c r="A96">
        <v>2609184555</v>
      </c>
      <c r="B96">
        <v>1144012100</v>
      </c>
      <c r="C96" t="s">
        <v>134</v>
      </c>
      <c r="D96" t="s">
        <v>0</v>
      </c>
      <c r="E96" t="s">
        <v>94</v>
      </c>
      <c r="F96" t="s">
        <v>95</v>
      </c>
      <c r="G96" t="s">
        <v>35</v>
      </c>
      <c r="H96">
        <v>18</v>
      </c>
      <c r="I96">
        <v>12000</v>
      </c>
      <c r="J96">
        <v>0</v>
      </c>
      <c r="K96" t="s">
        <v>439</v>
      </c>
      <c r="L96">
        <v>55</v>
      </c>
      <c r="M96">
        <v>16</v>
      </c>
      <c r="N96">
        <v>750</v>
      </c>
      <c r="O96">
        <v>24.57</v>
      </c>
      <c r="P96">
        <v>7</v>
      </c>
      <c r="Q96">
        <v>1714</v>
      </c>
      <c r="R96" t="s">
        <v>145</v>
      </c>
      <c r="S96" s="40">
        <v>46072</v>
      </c>
      <c r="T96">
        <v>37.556083999999998</v>
      </c>
      <c r="U96">
        <v>126.923455</v>
      </c>
      <c r="V96" t="s">
        <v>440</v>
      </c>
      <c r="W96" t="s">
        <v>431</v>
      </c>
      <c r="X96">
        <v>2</v>
      </c>
      <c r="Y96" t="s">
        <v>439</v>
      </c>
      <c r="Z96" t="s">
        <v>439</v>
      </c>
      <c r="AA96" t="s">
        <v>113</v>
      </c>
      <c r="AB96" t="s">
        <v>432</v>
      </c>
      <c r="AC96">
        <v>12000</v>
      </c>
      <c r="AD96">
        <v>0</v>
      </c>
      <c r="AE96" t="s">
        <v>101</v>
      </c>
      <c r="AF96" t="s">
        <v>165</v>
      </c>
      <c r="AG96" t="s">
        <v>166</v>
      </c>
      <c r="AH96">
        <v>93.029525670005455</v>
      </c>
      <c r="AI96" t="s">
        <v>47</v>
      </c>
      <c r="AJ96" t="s">
        <v>104</v>
      </c>
      <c r="AK96">
        <v>837.53034349574909</v>
      </c>
      <c r="AL96" t="s">
        <v>105</v>
      </c>
      <c r="AM96" s="41" t="s">
        <v>426</v>
      </c>
      <c r="BB96" t="s">
        <v>0</v>
      </c>
    </row>
    <row r="97" spans="1:56" hidden="1">
      <c r="A97">
        <v>2608528865</v>
      </c>
      <c r="B97">
        <v>1144012200</v>
      </c>
      <c r="C97" t="s">
        <v>93</v>
      </c>
      <c r="D97" t="s">
        <v>0</v>
      </c>
      <c r="E97" t="s">
        <v>94</v>
      </c>
      <c r="F97" t="s">
        <v>119</v>
      </c>
      <c r="G97" t="s">
        <v>35</v>
      </c>
      <c r="H97">
        <v>4</v>
      </c>
      <c r="I97">
        <v>22000</v>
      </c>
      <c r="J97">
        <v>0</v>
      </c>
      <c r="K97" t="s">
        <v>120</v>
      </c>
      <c r="L97">
        <v>47</v>
      </c>
      <c r="M97">
        <v>14</v>
      </c>
      <c r="N97">
        <v>1571</v>
      </c>
      <c r="O97">
        <v>40.78</v>
      </c>
      <c r="P97">
        <v>12</v>
      </c>
      <c r="Q97">
        <v>1833</v>
      </c>
      <c r="R97" t="s">
        <v>121</v>
      </c>
      <c r="S97" s="40">
        <v>46065</v>
      </c>
      <c r="T97">
        <v>37.553049999999999</v>
      </c>
      <c r="U97">
        <v>126.91033299999999</v>
      </c>
      <c r="V97" t="s">
        <v>122</v>
      </c>
      <c r="W97" t="s">
        <v>123</v>
      </c>
      <c r="X97">
        <v>1</v>
      </c>
      <c r="Y97">
        <v>0</v>
      </c>
      <c r="Z97">
        <v>0</v>
      </c>
      <c r="AA97" t="s">
        <v>124</v>
      </c>
      <c r="AB97" t="s">
        <v>125</v>
      </c>
      <c r="AC97">
        <v>22000</v>
      </c>
      <c r="AD97">
        <v>0</v>
      </c>
      <c r="AE97" t="s">
        <v>101</v>
      </c>
      <c r="AF97" t="s">
        <v>102</v>
      </c>
      <c r="AG97" t="s">
        <v>103</v>
      </c>
      <c r="AH97">
        <v>336.42166037402296</v>
      </c>
      <c r="AI97" t="s">
        <v>47</v>
      </c>
      <c r="AJ97" t="s">
        <v>104</v>
      </c>
      <c r="AK97">
        <v>955.78809481356325</v>
      </c>
      <c r="AL97" t="s">
        <v>105</v>
      </c>
      <c r="AM97" s="41" t="s">
        <v>126</v>
      </c>
      <c r="BB97" t="s">
        <v>45</v>
      </c>
      <c r="BD97">
        <v>0</v>
      </c>
    </row>
    <row r="98" spans="1:56" hidden="1">
      <c r="A98">
        <v>2608251372</v>
      </c>
      <c r="B98">
        <v>1144012100</v>
      </c>
      <c r="C98" t="s">
        <v>93</v>
      </c>
      <c r="D98" t="s">
        <v>0</v>
      </c>
      <c r="E98" t="s">
        <v>94</v>
      </c>
      <c r="F98" t="s">
        <v>119</v>
      </c>
      <c r="G98" t="s">
        <v>35</v>
      </c>
      <c r="H98">
        <v>18</v>
      </c>
      <c r="I98">
        <v>13000</v>
      </c>
      <c r="J98">
        <v>0</v>
      </c>
      <c r="K98" t="s">
        <v>441</v>
      </c>
      <c r="L98">
        <v>55</v>
      </c>
      <c r="M98">
        <v>16</v>
      </c>
      <c r="N98">
        <v>812</v>
      </c>
      <c r="O98">
        <v>24.57</v>
      </c>
      <c r="P98">
        <v>7</v>
      </c>
      <c r="Q98">
        <v>1857</v>
      </c>
      <c r="R98" t="s">
        <v>121</v>
      </c>
      <c r="S98" s="40">
        <v>46064</v>
      </c>
      <c r="T98">
        <v>37.556083999999998</v>
      </c>
      <c r="U98">
        <v>126.923455</v>
      </c>
      <c r="V98" t="s">
        <v>442</v>
      </c>
      <c r="W98" t="s">
        <v>431</v>
      </c>
      <c r="X98">
        <v>1</v>
      </c>
      <c r="Y98">
        <v>0</v>
      </c>
      <c r="Z98">
        <v>0</v>
      </c>
      <c r="AA98" t="s">
        <v>124</v>
      </c>
      <c r="AB98" t="s">
        <v>443</v>
      </c>
      <c r="AC98">
        <v>13000</v>
      </c>
      <c r="AD98">
        <v>0</v>
      </c>
      <c r="AE98" t="s">
        <v>101</v>
      </c>
      <c r="AF98" t="s">
        <v>165</v>
      </c>
      <c r="AG98" t="s">
        <v>166</v>
      </c>
      <c r="AH98">
        <v>93.029525670005455</v>
      </c>
      <c r="AI98" t="s">
        <v>47</v>
      </c>
      <c r="AJ98" t="s">
        <v>104</v>
      </c>
      <c r="AK98">
        <v>837.53034349574909</v>
      </c>
      <c r="AL98" t="s">
        <v>105</v>
      </c>
      <c r="AM98" s="41" t="s">
        <v>426</v>
      </c>
      <c r="BB98" t="s">
        <v>107</v>
      </c>
      <c r="BC98">
        <v>0.4</v>
      </c>
      <c r="BD98">
        <v>0</v>
      </c>
    </row>
    <row r="99" spans="1:56" hidden="1">
      <c r="A99">
        <v>2608807765</v>
      </c>
      <c r="B99">
        <v>1144012200</v>
      </c>
      <c r="C99" t="s">
        <v>93</v>
      </c>
      <c r="D99" t="s">
        <v>0</v>
      </c>
      <c r="E99" t="s">
        <v>94</v>
      </c>
      <c r="F99" t="s">
        <v>128</v>
      </c>
      <c r="G99" t="s">
        <v>35</v>
      </c>
      <c r="H99">
        <v>20</v>
      </c>
      <c r="I99">
        <v>15500</v>
      </c>
      <c r="J99">
        <v>0</v>
      </c>
      <c r="K99" t="s">
        <v>129</v>
      </c>
      <c r="L99">
        <v>42</v>
      </c>
      <c r="M99">
        <v>12</v>
      </c>
      <c r="N99">
        <v>1291</v>
      </c>
      <c r="O99">
        <v>28.72</v>
      </c>
      <c r="P99">
        <v>8</v>
      </c>
      <c r="Q99">
        <v>1938</v>
      </c>
      <c r="R99" t="s">
        <v>121</v>
      </c>
      <c r="S99" s="40">
        <v>46072</v>
      </c>
      <c r="T99">
        <v>37.548791999999999</v>
      </c>
      <c r="U99">
        <v>126.910509</v>
      </c>
      <c r="V99" t="s">
        <v>130</v>
      </c>
      <c r="W99" t="s">
        <v>131</v>
      </c>
      <c r="X99">
        <v>1</v>
      </c>
      <c r="Y99">
        <v>0</v>
      </c>
      <c r="Z99">
        <v>0</v>
      </c>
      <c r="AA99" t="s">
        <v>99</v>
      </c>
      <c r="AB99" t="s">
        <v>132</v>
      </c>
      <c r="AC99">
        <v>15500</v>
      </c>
      <c r="AD99">
        <v>0</v>
      </c>
      <c r="AE99" t="s">
        <v>101</v>
      </c>
      <c r="AF99" t="s">
        <v>115</v>
      </c>
      <c r="AG99" t="s">
        <v>116</v>
      </c>
      <c r="AH99">
        <v>303.04210726050604</v>
      </c>
      <c r="AI99" t="s">
        <v>47</v>
      </c>
      <c r="AJ99" t="s">
        <v>104</v>
      </c>
      <c r="AK99">
        <v>908.37408156018273</v>
      </c>
      <c r="AL99" t="s">
        <v>105</v>
      </c>
      <c r="AM99" s="41" t="s">
        <v>133</v>
      </c>
      <c r="BB99" t="s">
        <v>118</v>
      </c>
      <c r="BC99">
        <v>0.7</v>
      </c>
      <c r="BD99">
        <v>0</v>
      </c>
    </row>
    <row r="100" spans="1:56" hidden="1">
      <c r="A100">
        <v>2609254133</v>
      </c>
      <c r="B100">
        <v>1144012200</v>
      </c>
      <c r="C100" t="s">
        <v>134</v>
      </c>
      <c r="D100" t="s">
        <v>0</v>
      </c>
      <c r="E100" t="s">
        <v>94</v>
      </c>
      <c r="F100" t="s">
        <v>135</v>
      </c>
      <c r="G100" t="s">
        <v>35</v>
      </c>
      <c r="H100">
        <v>20</v>
      </c>
      <c r="I100">
        <v>15500</v>
      </c>
      <c r="J100">
        <v>0</v>
      </c>
      <c r="K100" t="s">
        <v>129</v>
      </c>
      <c r="L100">
        <v>42</v>
      </c>
      <c r="M100">
        <v>12</v>
      </c>
      <c r="N100">
        <v>1291</v>
      </c>
      <c r="O100">
        <v>28.72</v>
      </c>
      <c r="P100">
        <v>8</v>
      </c>
      <c r="Q100">
        <v>1938</v>
      </c>
      <c r="R100" t="s">
        <v>136</v>
      </c>
      <c r="S100" s="40">
        <v>46072</v>
      </c>
      <c r="T100">
        <v>37.548791999999999</v>
      </c>
      <c r="U100">
        <v>126.910509</v>
      </c>
      <c r="V100" t="s">
        <v>137</v>
      </c>
      <c r="W100" t="s">
        <v>138</v>
      </c>
      <c r="X100">
        <v>1</v>
      </c>
      <c r="Y100">
        <v>0</v>
      </c>
      <c r="Z100">
        <v>0</v>
      </c>
      <c r="AA100" t="s">
        <v>139</v>
      </c>
      <c r="AB100" t="s">
        <v>140</v>
      </c>
      <c r="AC100">
        <v>15500</v>
      </c>
      <c r="AD100">
        <v>0</v>
      </c>
      <c r="AE100" t="s">
        <v>101</v>
      </c>
      <c r="AF100" t="s">
        <v>115</v>
      </c>
      <c r="AG100" t="s">
        <v>116</v>
      </c>
      <c r="AH100">
        <v>303.04210726050604</v>
      </c>
      <c r="AI100" t="s">
        <v>47</v>
      </c>
      <c r="AJ100" t="s">
        <v>104</v>
      </c>
      <c r="AK100">
        <v>908.37408156018273</v>
      </c>
      <c r="AL100" t="s">
        <v>105</v>
      </c>
      <c r="AM100" s="41" t="s">
        <v>133</v>
      </c>
      <c r="BB100" t="s">
        <v>127</v>
      </c>
      <c r="BC100">
        <v>1</v>
      </c>
      <c r="BD100">
        <v>0</v>
      </c>
    </row>
    <row r="101" spans="1:56">
      <c r="A101">
        <v>2607988613</v>
      </c>
      <c r="B101">
        <v>1144012000</v>
      </c>
      <c r="C101" t="s">
        <v>211</v>
      </c>
      <c r="D101" t="s">
        <v>0</v>
      </c>
      <c r="E101" t="s">
        <v>94</v>
      </c>
      <c r="F101" t="s">
        <v>135</v>
      </c>
      <c r="G101">
        <v>1</v>
      </c>
      <c r="H101">
        <v>2</v>
      </c>
      <c r="I101">
        <v>90000</v>
      </c>
      <c r="J101">
        <v>0</v>
      </c>
      <c r="K101" t="s">
        <v>212</v>
      </c>
      <c r="L101">
        <v>181</v>
      </c>
      <c r="M101">
        <v>54</v>
      </c>
      <c r="N101">
        <v>1666</v>
      </c>
      <c r="O101">
        <v>81.5</v>
      </c>
      <c r="P101">
        <v>24</v>
      </c>
      <c r="Q101">
        <v>3750</v>
      </c>
      <c r="S101" s="40">
        <v>46063</v>
      </c>
      <c r="T101">
        <v>37.550941999999999</v>
      </c>
      <c r="U101">
        <v>126.913787</v>
      </c>
      <c r="V101" t="s">
        <v>213</v>
      </c>
      <c r="W101" t="s">
        <v>205</v>
      </c>
      <c r="X101">
        <v>1</v>
      </c>
      <c r="Y101">
        <v>0</v>
      </c>
      <c r="Z101">
        <v>0</v>
      </c>
      <c r="AA101" t="s">
        <v>113</v>
      </c>
      <c r="AB101" t="s">
        <v>214</v>
      </c>
      <c r="AC101">
        <v>90000</v>
      </c>
      <c r="AD101">
        <v>0</v>
      </c>
      <c r="AE101" t="s">
        <v>101</v>
      </c>
      <c r="AF101" t="s">
        <v>115</v>
      </c>
      <c r="AG101" t="s">
        <v>116</v>
      </c>
      <c r="AH101">
        <v>132.09524505029225</v>
      </c>
      <c r="AI101" t="s">
        <v>47</v>
      </c>
      <c r="AJ101" t="s">
        <v>104</v>
      </c>
      <c r="AK101">
        <v>528.49483569447079</v>
      </c>
      <c r="AL101">
        <v>1</v>
      </c>
      <c r="AM101" s="41" t="s">
        <v>178</v>
      </c>
      <c r="AN101">
        <f>IFERROR(VALUE(LEFT($W101,FIND("년",$W101)-1)),"")</f>
        <v>15</v>
      </c>
      <c r="AO101" t="str">
        <f>IFERROR(IF(FIND("년",$W101)=3,MID($W101,FIND("년",$W101)+1,FIND("년",$W101)-1),MID($W101,FIND("년",$W101)+1,FIND("년",$W101))),"")</f>
        <v>이내</v>
      </c>
      <c r="AP101">
        <f>IFERROR(IF($AN101&lt;11,10,IF(AND($AN101&lt;26,$AO101="이내"),25,26)),"")</f>
        <v>25</v>
      </c>
      <c r="AQ101">
        <f>IFERROR(IF($P101&lt;10,9,IF($P101&lt;20,10,IF($P101&lt;30,20,IF($P101&lt;40,30,40)))),"")</f>
        <v>20</v>
      </c>
      <c r="AR101" t="str">
        <f>IFERROR(IF($D101="상가",IF($G101="1","1층",IF($G101="전체층","전체층",IF(LEFT($G101,1)="B","B1",IF($G101&lt;6,"저",IF($G101/$H101&lt;=$BC$9,"저",IF($G101/$H101&lt;=$BC$10,"중","고")))))),IF(LEFT($G101,1)="B","B1",IF($H101&lt;6,"저",IF($G101/$H101&lt;=$BC$2,"저",IF($G101/$H101&lt;=$BC$3,"중","고"))))),"")</f>
        <v>저</v>
      </c>
      <c r="AS101">
        <f>IFERROR(ACOS(SIN(RADIANS(거래사례!$S$11))*SIN(RADIANS($T101))+COS(RADIANS(거래사례!$S$11))*COS(RADIANS($T101))*COS(RADIANS($U101-거래사례!$P$11)))*6371000,"")</f>
        <v>1675.8614531849782</v>
      </c>
      <c r="BB101" t="s">
        <v>35</v>
      </c>
      <c r="BD101">
        <v>0</v>
      </c>
    </row>
    <row r="102" spans="1:56" hidden="1">
      <c r="A102">
        <v>2611016121</v>
      </c>
      <c r="B102">
        <v>1144011000</v>
      </c>
      <c r="C102" t="s">
        <v>93</v>
      </c>
      <c r="D102" t="s">
        <v>0</v>
      </c>
      <c r="E102" t="s">
        <v>94</v>
      </c>
      <c r="F102" t="s">
        <v>119</v>
      </c>
      <c r="G102">
        <v>3</v>
      </c>
      <c r="H102">
        <v>15</v>
      </c>
      <c r="I102">
        <v>30000</v>
      </c>
      <c r="J102">
        <v>0</v>
      </c>
      <c r="K102" t="s">
        <v>183</v>
      </c>
      <c r="L102">
        <v>99</v>
      </c>
      <c r="M102">
        <v>29</v>
      </c>
      <c r="N102">
        <v>1034</v>
      </c>
      <c r="O102">
        <v>52.63</v>
      </c>
      <c r="P102">
        <v>15</v>
      </c>
      <c r="Q102">
        <v>2000</v>
      </c>
      <c r="R102" t="s">
        <v>208</v>
      </c>
      <c r="S102" s="40">
        <v>46080</v>
      </c>
      <c r="T102">
        <v>37.554876999999998</v>
      </c>
      <c r="U102">
        <v>126.93539699999999</v>
      </c>
      <c r="V102" t="s">
        <v>449</v>
      </c>
      <c r="W102" t="s">
        <v>450</v>
      </c>
      <c r="X102">
        <v>1</v>
      </c>
      <c r="Y102">
        <v>0</v>
      </c>
      <c r="Z102">
        <v>0</v>
      </c>
      <c r="AA102" t="s">
        <v>124</v>
      </c>
      <c r="AB102" t="s">
        <v>451</v>
      </c>
      <c r="AC102">
        <v>30000</v>
      </c>
      <c r="AD102">
        <v>0</v>
      </c>
      <c r="AE102" t="s">
        <v>101</v>
      </c>
      <c r="AF102" t="s">
        <v>436</v>
      </c>
      <c r="AG102" t="s">
        <v>437</v>
      </c>
      <c r="AH102">
        <v>242.00396386017903</v>
      </c>
      <c r="AI102" t="s">
        <v>47</v>
      </c>
      <c r="AJ102" t="s">
        <v>104</v>
      </c>
      <c r="AK102">
        <v>981.71582045568869</v>
      </c>
      <c r="AL102" t="s">
        <v>105</v>
      </c>
      <c r="AM102" s="41" t="s">
        <v>452</v>
      </c>
      <c r="BB102" t="s">
        <v>44</v>
      </c>
      <c r="BD102">
        <v>0</v>
      </c>
    </row>
    <row r="103" spans="1:56" hidden="1">
      <c r="A103">
        <v>2608330201</v>
      </c>
      <c r="B103">
        <v>1141011600</v>
      </c>
      <c r="C103" t="s">
        <v>134</v>
      </c>
      <c r="D103" t="s">
        <v>0</v>
      </c>
      <c r="E103" t="s">
        <v>94</v>
      </c>
      <c r="F103" t="s">
        <v>244</v>
      </c>
      <c r="G103" t="s">
        <v>35</v>
      </c>
      <c r="H103">
        <v>15</v>
      </c>
      <c r="I103">
        <v>7000</v>
      </c>
      <c r="J103">
        <v>0</v>
      </c>
      <c r="K103" s="39">
        <v>7000</v>
      </c>
      <c r="L103">
        <v>28</v>
      </c>
      <c r="M103">
        <v>8</v>
      </c>
      <c r="N103">
        <v>875</v>
      </c>
      <c r="O103">
        <v>12.73</v>
      </c>
      <c r="P103">
        <v>3</v>
      </c>
      <c r="Q103">
        <v>2333</v>
      </c>
      <c r="R103" t="s">
        <v>208</v>
      </c>
      <c r="S103" s="40">
        <v>46065</v>
      </c>
      <c r="T103">
        <v>37.556063999999999</v>
      </c>
      <c r="U103">
        <v>126.93825</v>
      </c>
      <c r="V103" t="s">
        <v>453</v>
      </c>
      <c r="W103" t="s">
        <v>123</v>
      </c>
      <c r="X103">
        <v>1</v>
      </c>
      <c r="Y103">
        <v>0</v>
      </c>
      <c r="Z103">
        <v>0</v>
      </c>
      <c r="AA103" t="s">
        <v>176</v>
      </c>
      <c r="AB103" t="s">
        <v>454</v>
      </c>
      <c r="AC103">
        <v>7000</v>
      </c>
      <c r="AD103">
        <v>0</v>
      </c>
      <c r="AE103" t="s">
        <v>101</v>
      </c>
      <c r="AF103" t="s">
        <v>436</v>
      </c>
      <c r="AG103" t="s">
        <v>437</v>
      </c>
      <c r="AH103">
        <v>172.70504045212317</v>
      </c>
      <c r="AI103" t="s">
        <v>48</v>
      </c>
      <c r="AJ103" t="s">
        <v>104</v>
      </c>
      <c r="AK103">
        <v>639.01446691631702</v>
      </c>
      <c r="AL103" t="s">
        <v>105</v>
      </c>
      <c r="AM103" s="41" t="s">
        <v>438</v>
      </c>
    </row>
    <row r="104" spans="1:56">
      <c r="A104">
        <v>2607988613</v>
      </c>
      <c r="B104">
        <v>1144012000</v>
      </c>
      <c r="C104" t="s">
        <v>211</v>
      </c>
      <c r="D104" t="s">
        <v>0</v>
      </c>
      <c r="E104" t="s">
        <v>94</v>
      </c>
      <c r="F104" t="s">
        <v>135</v>
      </c>
      <c r="G104">
        <v>1</v>
      </c>
      <c r="H104">
        <v>2</v>
      </c>
      <c r="I104">
        <v>90000</v>
      </c>
      <c r="J104">
        <v>0</v>
      </c>
      <c r="K104" t="s">
        <v>212</v>
      </c>
      <c r="L104">
        <v>181</v>
      </c>
      <c r="M104">
        <v>54</v>
      </c>
      <c r="N104">
        <v>1666</v>
      </c>
      <c r="O104">
        <v>81.5</v>
      </c>
      <c r="P104">
        <v>24</v>
      </c>
      <c r="Q104">
        <v>3750</v>
      </c>
      <c r="S104" s="40">
        <v>46063</v>
      </c>
      <c r="T104">
        <v>37.550941999999999</v>
      </c>
      <c r="U104">
        <v>126.913787</v>
      </c>
      <c r="V104" t="s">
        <v>213</v>
      </c>
      <c r="W104" t="s">
        <v>205</v>
      </c>
      <c r="X104">
        <v>1</v>
      </c>
      <c r="Y104">
        <v>0</v>
      </c>
      <c r="Z104">
        <v>0</v>
      </c>
      <c r="AA104" t="s">
        <v>113</v>
      </c>
      <c r="AB104" t="s">
        <v>214</v>
      </c>
      <c r="AC104">
        <v>90000</v>
      </c>
      <c r="AD104">
        <v>0</v>
      </c>
      <c r="AE104" t="s">
        <v>101</v>
      </c>
      <c r="AF104" t="s">
        <v>115</v>
      </c>
      <c r="AG104" t="s">
        <v>116</v>
      </c>
      <c r="AH104">
        <v>132.09524505029225</v>
      </c>
      <c r="AI104" t="s">
        <v>47</v>
      </c>
      <c r="AJ104" t="s">
        <v>104</v>
      </c>
      <c r="AK104">
        <v>528.49483569447079</v>
      </c>
      <c r="AL104">
        <v>1</v>
      </c>
      <c r="AM104" s="41" t="s">
        <v>178</v>
      </c>
      <c r="AN104">
        <f t="shared" ref="AN104:AN105" si="45">IFERROR(VALUE(LEFT($W104,FIND("년",$W104)-1)),"")</f>
        <v>15</v>
      </c>
      <c r="AO104" t="str">
        <f t="shared" ref="AO104:AO105" si="46">IFERROR(IF(FIND("년",$W104)=3,MID($W104,FIND("년",$W104)+1,FIND("년",$W104)-1),MID($W104,FIND("년",$W104)+1,FIND("년",$W104))),"")</f>
        <v>이내</v>
      </c>
      <c r="AP104">
        <f t="shared" ref="AP104:AP105" si="47">IFERROR(IF($AN104&lt;11,10,IF(AND($AN104&lt;26,$AO104="이내"),25,26)),"")</f>
        <v>25</v>
      </c>
      <c r="AQ104">
        <f t="shared" ref="AQ104:AQ105" si="48">IFERROR(IF($P104&lt;10,9,IF($P104&lt;20,10,IF($P104&lt;30,20,IF($P104&lt;40,30,40)))),"")</f>
        <v>20</v>
      </c>
      <c r="AR104" t="str">
        <f t="shared" ref="AR104:AR105" si="49">IFERROR(IF($D104="상가",IF($G104="1","1층",IF($G104="전체층","전체층",IF(LEFT($G104,1)="B","B1",IF($G104&lt;6,"저",IF($G104/$H104&lt;=$BC$9,"저",IF($G104/$H104&lt;=$BC$10,"중","고")))))),IF(LEFT($G104,1)="B","B1",IF($H104&lt;6,"저",IF($G104/$H104&lt;=$BC$2,"저",IF($G104/$H104&lt;=$BC$3,"중","고"))))),"")</f>
        <v>저</v>
      </c>
      <c r="AS104">
        <f>IFERROR(ACOS(SIN(RADIANS(거래사례!$S$11))*SIN(RADIANS($T104))+COS(RADIANS(거래사례!$S$11))*COS(RADIANS($T104))*COS(RADIANS($U104-거래사례!$P$11)))*6371000,"")</f>
        <v>1675.8614531849782</v>
      </c>
    </row>
    <row r="105" spans="1:56">
      <c r="A105">
        <v>2608895278</v>
      </c>
      <c r="B105">
        <v>1144011500</v>
      </c>
      <c r="C105" t="s">
        <v>134</v>
      </c>
      <c r="D105" t="s">
        <v>0</v>
      </c>
      <c r="E105" t="s">
        <v>94</v>
      </c>
      <c r="F105" t="s">
        <v>135</v>
      </c>
      <c r="G105" t="s">
        <v>35</v>
      </c>
      <c r="H105">
        <v>20</v>
      </c>
      <c r="I105">
        <v>110000</v>
      </c>
      <c r="J105">
        <v>0</v>
      </c>
      <c r="K105" t="s">
        <v>229</v>
      </c>
      <c r="L105">
        <v>160</v>
      </c>
      <c r="M105">
        <v>48</v>
      </c>
      <c r="N105">
        <v>2291</v>
      </c>
      <c r="O105">
        <v>97.48</v>
      </c>
      <c r="P105">
        <v>29</v>
      </c>
      <c r="Q105">
        <v>3793</v>
      </c>
      <c r="R105" t="s">
        <v>136</v>
      </c>
      <c r="S105" s="40">
        <v>46067</v>
      </c>
      <c r="T105">
        <v>37.546624000000001</v>
      </c>
      <c r="U105">
        <v>126.925488</v>
      </c>
      <c r="V105" t="s">
        <v>713</v>
      </c>
      <c r="W105" t="s">
        <v>288</v>
      </c>
      <c r="X105">
        <v>1</v>
      </c>
      <c r="Y105">
        <v>0</v>
      </c>
      <c r="Z105">
        <v>0</v>
      </c>
      <c r="AA105" t="s">
        <v>176</v>
      </c>
      <c r="AB105" t="s">
        <v>714</v>
      </c>
      <c r="AC105">
        <v>110000</v>
      </c>
      <c r="AD105">
        <v>0</v>
      </c>
      <c r="AE105" t="s">
        <v>101</v>
      </c>
      <c r="AF105" t="s">
        <v>242</v>
      </c>
      <c r="AG105" t="s">
        <v>103</v>
      </c>
      <c r="AH105">
        <v>319.72753753439582</v>
      </c>
      <c r="AI105" t="s">
        <v>47</v>
      </c>
      <c r="AJ105" t="s">
        <v>104</v>
      </c>
      <c r="AK105">
        <v>884.59980712377774</v>
      </c>
      <c r="AL105" t="s">
        <v>105</v>
      </c>
      <c r="AM105" s="41" t="s">
        <v>715</v>
      </c>
      <c r="AN105">
        <f t="shared" si="45"/>
        <v>15</v>
      </c>
      <c r="AO105" t="str">
        <f t="shared" si="46"/>
        <v>이내</v>
      </c>
      <c r="AP105">
        <f t="shared" si="47"/>
        <v>25</v>
      </c>
      <c r="AQ105">
        <f t="shared" si="48"/>
        <v>20</v>
      </c>
      <c r="AR105" t="str">
        <f t="shared" si="49"/>
        <v>B1</v>
      </c>
      <c r="AS105">
        <f>IFERROR(ACOS(SIN(RADIANS(거래사례!$S$11))*SIN(RADIANS($T105))+COS(RADIANS(거래사례!$S$11))*COS(RADIANS($T105))*COS(RADIANS($U105-거래사례!$P$11)))*6371000,"")</f>
        <v>1500.6808368357324</v>
      </c>
    </row>
    <row r="106" spans="1:56" hidden="1">
      <c r="A106">
        <v>2607345842</v>
      </c>
      <c r="B106">
        <v>1144011000</v>
      </c>
      <c r="C106" t="s">
        <v>211</v>
      </c>
      <c r="D106" t="s">
        <v>0</v>
      </c>
      <c r="E106" t="s">
        <v>94</v>
      </c>
      <c r="F106" t="s">
        <v>95</v>
      </c>
      <c r="G106">
        <v>1</v>
      </c>
      <c r="H106">
        <v>15</v>
      </c>
      <c r="I106">
        <v>9900</v>
      </c>
      <c r="J106">
        <v>0</v>
      </c>
      <c r="K106" s="39">
        <v>9900</v>
      </c>
      <c r="L106">
        <v>28</v>
      </c>
      <c r="M106">
        <v>8</v>
      </c>
      <c r="N106">
        <v>1237</v>
      </c>
      <c r="O106">
        <v>14.05</v>
      </c>
      <c r="P106">
        <v>4</v>
      </c>
      <c r="Q106">
        <v>2475</v>
      </c>
      <c r="R106" t="s">
        <v>154</v>
      </c>
      <c r="S106" s="40">
        <v>46059</v>
      </c>
      <c r="T106">
        <v>37.554876999999998</v>
      </c>
      <c r="U106">
        <v>126.93539699999999</v>
      </c>
      <c r="V106" t="s">
        <v>455</v>
      </c>
      <c r="W106" t="s">
        <v>456</v>
      </c>
      <c r="X106">
        <v>1</v>
      </c>
      <c r="Y106">
        <v>0</v>
      </c>
      <c r="Z106">
        <v>0</v>
      </c>
      <c r="AA106" t="s">
        <v>99</v>
      </c>
      <c r="AB106" t="s">
        <v>451</v>
      </c>
      <c r="AC106">
        <v>9900</v>
      </c>
      <c r="AD106">
        <v>0</v>
      </c>
      <c r="AE106" t="s">
        <v>101</v>
      </c>
      <c r="AF106" t="s">
        <v>436</v>
      </c>
      <c r="AG106" t="s">
        <v>437</v>
      </c>
      <c r="AH106">
        <v>242.00396386017903</v>
      </c>
      <c r="AI106" t="s">
        <v>47</v>
      </c>
      <c r="AJ106" t="s">
        <v>104</v>
      </c>
      <c r="AK106">
        <v>981.71582045568869</v>
      </c>
      <c r="AL106" t="s">
        <v>105</v>
      </c>
      <c r="AM106" s="41" t="s">
        <v>452</v>
      </c>
    </row>
    <row r="107" spans="1:56">
      <c r="A107">
        <v>2608828997</v>
      </c>
      <c r="B107">
        <v>1144011500</v>
      </c>
      <c r="C107" t="s">
        <v>134</v>
      </c>
      <c r="D107" t="s">
        <v>0</v>
      </c>
      <c r="E107" t="s">
        <v>94</v>
      </c>
      <c r="F107" t="s">
        <v>135</v>
      </c>
      <c r="G107" t="s">
        <v>35</v>
      </c>
      <c r="H107">
        <v>20</v>
      </c>
      <c r="I107">
        <v>110000</v>
      </c>
      <c r="J107">
        <v>0</v>
      </c>
      <c r="K107" t="s">
        <v>229</v>
      </c>
      <c r="L107">
        <v>160</v>
      </c>
      <c r="M107">
        <v>48</v>
      </c>
      <c r="N107">
        <v>2291</v>
      </c>
      <c r="O107">
        <v>97.48</v>
      </c>
      <c r="P107">
        <v>29</v>
      </c>
      <c r="Q107">
        <v>3793</v>
      </c>
      <c r="R107" t="s">
        <v>136</v>
      </c>
      <c r="S107" s="40">
        <v>46067</v>
      </c>
      <c r="T107">
        <v>37.546624000000001</v>
      </c>
      <c r="U107">
        <v>126.925488</v>
      </c>
      <c r="V107" t="s">
        <v>716</v>
      </c>
      <c r="W107" t="s">
        <v>288</v>
      </c>
      <c r="X107">
        <v>1</v>
      </c>
      <c r="Y107">
        <v>0</v>
      </c>
      <c r="Z107">
        <v>0</v>
      </c>
      <c r="AA107" t="s">
        <v>176</v>
      </c>
      <c r="AB107" t="s">
        <v>717</v>
      </c>
      <c r="AC107">
        <v>110000</v>
      </c>
      <c r="AD107">
        <v>0</v>
      </c>
      <c r="AE107" t="s">
        <v>101</v>
      </c>
      <c r="AF107" t="s">
        <v>242</v>
      </c>
      <c r="AG107" t="s">
        <v>103</v>
      </c>
      <c r="AH107">
        <v>319.72753753439582</v>
      </c>
      <c r="AI107" t="s">
        <v>47</v>
      </c>
      <c r="AJ107" t="s">
        <v>104</v>
      </c>
      <c r="AK107">
        <v>884.59980712377774</v>
      </c>
      <c r="AL107" t="s">
        <v>105</v>
      </c>
      <c r="AM107" s="41" t="s">
        <v>715</v>
      </c>
      <c r="AN107">
        <f t="shared" ref="AN107:AN109" si="50">IFERROR(VALUE(LEFT($W107,FIND("년",$W107)-1)),"")</f>
        <v>15</v>
      </c>
      <c r="AO107" t="str">
        <f t="shared" ref="AO107:AO109" si="51">IFERROR(IF(FIND("년",$W107)=3,MID($W107,FIND("년",$W107)+1,FIND("년",$W107)-1),MID($W107,FIND("년",$W107)+1,FIND("년",$W107))),"")</f>
        <v>이내</v>
      </c>
      <c r="AP107">
        <f t="shared" ref="AP107:AP109" si="52">IFERROR(IF($AN107&lt;11,10,IF(AND($AN107&lt;26,$AO107="이내"),25,26)),"")</f>
        <v>25</v>
      </c>
      <c r="AQ107">
        <f t="shared" ref="AQ107:AQ109" si="53">IFERROR(IF($P107&lt;10,9,IF($P107&lt;20,10,IF($P107&lt;30,20,IF($P107&lt;40,30,40)))),"")</f>
        <v>20</v>
      </c>
      <c r="AR107" t="str">
        <f t="shared" ref="AR107:AR109" si="54">IFERROR(IF($D107="상가",IF($G107="1","1층",IF($G107="전체층","전체층",IF(LEFT($G107,1)="B","B1",IF($G107&lt;6,"저",IF($G107/$H107&lt;=$BC$9,"저",IF($G107/$H107&lt;=$BC$10,"중","고")))))),IF(LEFT($G107,1)="B","B1",IF($H107&lt;6,"저",IF($G107/$H107&lt;=$BC$2,"저",IF($G107/$H107&lt;=$BC$3,"중","고"))))),"")</f>
        <v>B1</v>
      </c>
      <c r="AS107">
        <f>IFERROR(ACOS(SIN(RADIANS(거래사례!$S$11))*SIN(RADIANS($T107))+COS(RADIANS(거래사례!$S$11))*COS(RADIANS($T107))*COS(RADIANS($U107-거래사례!$P$11)))*6371000,"")</f>
        <v>1500.6808368357324</v>
      </c>
    </row>
    <row r="108" spans="1:56">
      <c r="A108">
        <v>2611685170</v>
      </c>
      <c r="B108">
        <v>1144012100</v>
      </c>
      <c r="C108" t="s">
        <v>93</v>
      </c>
      <c r="D108" t="s">
        <v>0</v>
      </c>
      <c r="E108" t="s">
        <v>94</v>
      </c>
      <c r="F108" t="s">
        <v>95</v>
      </c>
      <c r="G108" t="s">
        <v>35</v>
      </c>
      <c r="H108">
        <v>18</v>
      </c>
      <c r="I108">
        <v>95000</v>
      </c>
      <c r="J108">
        <v>0</v>
      </c>
      <c r="K108" t="s">
        <v>518</v>
      </c>
      <c r="L108">
        <v>193</v>
      </c>
      <c r="M108">
        <v>58</v>
      </c>
      <c r="N108">
        <v>1637</v>
      </c>
      <c r="O108">
        <v>85.37</v>
      </c>
      <c r="P108">
        <v>25</v>
      </c>
      <c r="Q108">
        <v>3800</v>
      </c>
      <c r="R108" t="s">
        <v>161</v>
      </c>
      <c r="S108" s="40">
        <v>46084</v>
      </c>
      <c r="T108">
        <v>37.556083999999998</v>
      </c>
      <c r="U108">
        <v>126.92345400000001</v>
      </c>
      <c r="V108" t="s">
        <v>519</v>
      </c>
      <c r="W108" t="s">
        <v>431</v>
      </c>
      <c r="X108">
        <v>1</v>
      </c>
      <c r="Y108">
        <v>0</v>
      </c>
      <c r="Z108">
        <v>0</v>
      </c>
      <c r="AA108" t="s">
        <v>113</v>
      </c>
      <c r="AB108" t="s">
        <v>308</v>
      </c>
      <c r="AC108">
        <v>95000</v>
      </c>
      <c r="AD108">
        <v>0</v>
      </c>
      <c r="AE108" t="s">
        <v>101</v>
      </c>
      <c r="AF108" t="s">
        <v>165</v>
      </c>
      <c r="AG108" t="s">
        <v>166</v>
      </c>
      <c r="AH108">
        <v>93.058800607702921</v>
      </c>
      <c r="AI108" t="s">
        <v>47</v>
      </c>
      <c r="AJ108" t="s">
        <v>104</v>
      </c>
      <c r="AK108">
        <v>837.45711531045106</v>
      </c>
      <c r="AL108" t="s">
        <v>105</v>
      </c>
      <c r="AM108" s="41" t="s">
        <v>426</v>
      </c>
      <c r="AN108">
        <f t="shared" si="50"/>
        <v>25</v>
      </c>
      <c r="AO108" t="str">
        <f t="shared" si="51"/>
        <v>이상</v>
      </c>
      <c r="AP108">
        <f t="shared" si="52"/>
        <v>26</v>
      </c>
      <c r="AQ108">
        <f t="shared" si="53"/>
        <v>20</v>
      </c>
      <c r="AR108" t="str">
        <f t="shared" si="54"/>
        <v>B1</v>
      </c>
      <c r="AS108">
        <f>IFERROR(ACOS(SIN(RADIANS(거래사례!$S$11))*SIN(RADIANS($T108))+COS(RADIANS(거래사례!$S$11))*COS(RADIANS($T108))*COS(RADIANS($U108-거래사례!$P$11)))*6371000,"")</f>
        <v>651.49171010077225</v>
      </c>
    </row>
    <row r="109" spans="1:56">
      <c r="A109">
        <v>2609169828</v>
      </c>
      <c r="B109">
        <v>1144012100</v>
      </c>
      <c r="C109" t="s">
        <v>93</v>
      </c>
      <c r="D109" t="s">
        <v>0</v>
      </c>
      <c r="E109" t="s">
        <v>94</v>
      </c>
      <c r="F109" t="s">
        <v>95</v>
      </c>
      <c r="G109" t="s">
        <v>35</v>
      </c>
      <c r="H109">
        <v>18</v>
      </c>
      <c r="I109">
        <v>95000</v>
      </c>
      <c r="J109">
        <v>0</v>
      </c>
      <c r="K109" t="s">
        <v>518</v>
      </c>
      <c r="L109">
        <v>85</v>
      </c>
      <c r="M109">
        <v>25</v>
      </c>
      <c r="N109">
        <v>3800</v>
      </c>
      <c r="O109">
        <v>85</v>
      </c>
      <c r="P109">
        <v>25</v>
      </c>
      <c r="Q109">
        <v>3800</v>
      </c>
      <c r="R109" t="s">
        <v>121</v>
      </c>
      <c r="S109" s="40">
        <v>46072</v>
      </c>
      <c r="T109">
        <v>37.556083999999998</v>
      </c>
      <c r="U109">
        <v>126.923455</v>
      </c>
      <c r="V109" t="s">
        <v>520</v>
      </c>
      <c r="W109" t="s">
        <v>431</v>
      </c>
      <c r="X109">
        <v>1</v>
      </c>
      <c r="Y109">
        <v>0</v>
      </c>
      <c r="Z109">
        <v>0</v>
      </c>
      <c r="AA109" t="s">
        <v>113</v>
      </c>
      <c r="AB109" t="s">
        <v>432</v>
      </c>
      <c r="AC109">
        <v>95000</v>
      </c>
      <c r="AD109">
        <v>0</v>
      </c>
      <c r="AE109" t="s">
        <v>101</v>
      </c>
      <c r="AF109" t="s">
        <v>165</v>
      </c>
      <c r="AG109" t="s">
        <v>166</v>
      </c>
      <c r="AH109">
        <v>93.029525670005455</v>
      </c>
      <c r="AI109" t="s">
        <v>47</v>
      </c>
      <c r="AJ109" t="s">
        <v>104</v>
      </c>
      <c r="AK109">
        <v>837.53034349574909</v>
      </c>
      <c r="AL109" t="s">
        <v>105</v>
      </c>
      <c r="AM109" s="41" t="s">
        <v>426</v>
      </c>
      <c r="AN109">
        <f t="shared" si="50"/>
        <v>25</v>
      </c>
      <c r="AO109" t="str">
        <f t="shared" si="51"/>
        <v>이상</v>
      </c>
      <c r="AP109">
        <f t="shared" si="52"/>
        <v>26</v>
      </c>
      <c r="AQ109">
        <f t="shared" si="53"/>
        <v>20</v>
      </c>
      <c r="AR109" t="str">
        <f t="shared" si="54"/>
        <v>B1</v>
      </c>
      <c r="AS109">
        <f>IFERROR(ACOS(SIN(RADIANS(거래사례!$S$11))*SIN(RADIANS($T109))+COS(RADIANS(거래사례!$S$11))*COS(RADIANS($T109))*COS(RADIANS($U109-거래사례!$P$11)))*6371000,"")</f>
        <v>651.4235742815664</v>
      </c>
    </row>
    <row r="110" spans="1:56" hidden="1">
      <c r="A110">
        <v>2610024670</v>
      </c>
      <c r="B110">
        <v>1144012100</v>
      </c>
      <c r="C110" t="s">
        <v>134</v>
      </c>
      <c r="D110" t="s">
        <v>0</v>
      </c>
      <c r="E110" t="s">
        <v>94</v>
      </c>
      <c r="F110" t="s">
        <v>95</v>
      </c>
      <c r="G110" t="s">
        <v>35</v>
      </c>
      <c r="H110">
        <v>18</v>
      </c>
      <c r="I110">
        <v>18500</v>
      </c>
      <c r="J110">
        <v>0</v>
      </c>
      <c r="K110" t="s">
        <v>141</v>
      </c>
      <c r="L110">
        <v>55</v>
      </c>
      <c r="M110">
        <v>16</v>
      </c>
      <c r="N110">
        <v>1156</v>
      </c>
      <c r="O110">
        <v>24.57</v>
      </c>
      <c r="P110">
        <v>7</v>
      </c>
      <c r="Q110">
        <v>2643</v>
      </c>
      <c r="R110" t="s">
        <v>161</v>
      </c>
      <c r="S110" s="40">
        <v>46076</v>
      </c>
      <c r="T110">
        <v>37.556083999999998</v>
      </c>
      <c r="U110">
        <v>126.923455</v>
      </c>
      <c r="V110" t="s">
        <v>467</v>
      </c>
      <c r="W110" t="s">
        <v>425</v>
      </c>
      <c r="X110">
        <v>1</v>
      </c>
      <c r="Y110">
        <v>0</v>
      </c>
      <c r="Z110">
        <v>0</v>
      </c>
      <c r="AA110" t="s">
        <v>113</v>
      </c>
      <c r="AB110" t="s">
        <v>432</v>
      </c>
      <c r="AC110">
        <v>18500</v>
      </c>
      <c r="AD110">
        <v>0</v>
      </c>
      <c r="AE110" t="s">
        <v>101</v>
      </c>
      <c r="AF110" t="s">
        <v>165</v>
      </c>
      <c r="AG110" t="s">
        <v>166</v>
      </c>
      <c r="AH110">
        <v>93.029525670005455</v>
      </c>
      <c r="AI110" t="s">
        <v>47</v>
      </c>
      <c r="AJ110" t="s">
        <v>104</v>
      </c>
      <c r="AK110">
        <v>837.53034349574909</v>
      </c>
      <c r="AL110" t="s">
        <v>105</v>
      </c>
      <c r="AM110" s="41" t="s">
        <v>426</v>
      </c>
    </row>
    <row r="111" spans="1:56" hidden="1">
      <c r="A111">
        <v>2609438757</v>
      </c>
      <c r="B111">
        <v>1144012000</v>
      </c>
      <c r="C111" t="s">
        <v>134</v>
      </c>
      <c r="D111" t="s">
        <v>0</v>
      </c>
      <c r="E111" t="s">
        <v>94</v>
      </c>
      <c r="F111" t="s">
        <v>95</v>
      </c>
      <c r="G111">
        <v>1</v>
      </c>
      <c r="H111">
        <v>19</v>
      </c>
      <c r="I111">
        <v>16000</v>
      </c>
      <c r="J111">
        <v>0</v>
      </c>
      <c r="K111" t="s">
        <v>109</v>
      </c>
      <c r="L111">
        <v>21</v>
      </c>
      <c r="M111">
        <v>6</v>
      </c>
      <c r="N111">
        <v>2666</v>
      </c>
      <c r="O111">
        <v>21.74</v>
      </c>
      <c r="P111">
        <v>6</v>
      </c>
      <c r="Q111">
        <v>2667</v>
      </c>
      <c r="R111" t="s">
        <v>161</v>
      </c>
      <c r="S111" s="40">
        <v>46073</v>
      </c>
      <c r="T111">
        <v>37.553798999999998</v>
      </c>
      <c r="U111">
        <v>126.92370099999999</v>
      </c>
      <c r="V111" t="s">
        <v>162</v>
      </c>
      <c r="W111" t="s">
        <v>163</v>
      </c>
      <c r="X111">
        <v>1</v>
      </c>
      <c r="Y111">
        <v>0</v>
      </c>
      <c r="Z111">
        <v>0</v>
      </c>
      <c r="AA111" t="s">
        <v>139</v>
      </c>
      <c r="AB111" t="s">
        <v>164</v>
      </c>
      <c r="AC111">
        <v>16000</v>
      </c>
      <c r="AD111">
        <v>0</v>
      </c>
      <c r="AE111" t="s">
        <v>101</v>
      </c>
      <c r="AF111" t="s">
        <v>165</v>
      </c>
      <c r="AG111" t="s">
        <v>166</v>
      </c>
      <c r="AH111">
        <v>344.14694489895248</v>
      </c>
      <c r="AI111" t="s">
        <v>47</v>
      </c>
      <c r="AJ111" t="s">
        <v>104</v>
      </c>
      <c r="AK111">
        <v>690.06417067304881</v>
      </c>
      <c r="AL111" t="s">
        <v>105</v>
      </c>
      <c r="AM111" s="41" t="s">
        <v>167</v>
      </c>
    </row>
    <row r="112" spans="1:56" hidden="1">
      <c r="A112">
        <v>2610266245</v>
      </c>
      <c r="B112">
        <v>1144012000</v>
      </c>
      <c r="C112" t="s">
        <v>134</v>
      </c>
      <c r="D112" t="s">
        <v>0</v>
      </c>
      <c r="E112" t="s">
        <v>94</v>
      </c>
      <c r="F112" t="s">
        <v>135</v>
      </c>
      <c r="G112">
        <v>1</v>
      </c>
      <c r="H112">
        <v>12</v>
      </c>
      <c r="I112">
        <v>25000</v>
      </c>
      <c r="J112">
        <v>0</v>
      </c>
      <c r="K112" t="s">
        <v>468</v>
      </c>
      <c r="L112">
        <v>45</v>
      </c>
      <c r="M112">
        <v>13</v>
      </c>
      <c r="N112">
        <v>1923</v>
      </c>
      <c r="O112">
        <v>30.41</v>
      </c>
      <c r="P112">
        <v>9</v>
      </c>
      <c r="Q112">
        <v>2778</v>
      </c>
      <c r="R112" t="s">
        <v>110</v>
      </c>
      <c r="S112" s="40">
        <v>46077</v>
      </c>
      <c r="T112">
        <v>37.557372999999998</v>
      </c>
      <c r="U112">
        <v>126.916798</v>
      </c>
      <c r="V112" t="s">
        <v>469</v>
      </c>
      <c r="W112" t="s">
        <v>470</v>
      </c>
      <c r="X112">
        <v>2</v>
      </c>
      <c r="Y112" t="s">
        <v>468</v>
      </c>
      <c r="Z112" t="s">
        <v>468</v>
      </c>
      <c r="AA112" t="s">
        <v>139</v>
      </c>
      <c r="AB112" t="s">
        <v>471</v>
      </c>
      <c r="AC112">
        <v>25000</v>
      </c>
      <c r="AD112">
        <v>0</v>
      </c>
      <c r="AE112" t="s">
        <v>101</v>
      </c>
      <c r="AF112" t="s">
        <v>102</v>
      </c>
      <c r="AG112" t="s">
        <v>103</v>
      </c>
      <c r="AH112">
        <v>767.08573569644557</v>
      </c>
      <c r="AI112" t="s">
        <v>47</v>
      </c>
      <c r="AJ112" t="s">
        <v>104</v>
      </c>
      <c r="AK112">
        <v>797.26044038606585</v>
      </c>
      <c r="AL112" t="s">
        <v>105</v>
      </c>
      <c r="AM112" s="41" t="s">
        <v>472</v>
      </c>
    </row>
    <row r="113" spans="1:45" hidden="1">
      <c r="A113">
        <v>2608646937</v>
      </c>
      <c r="B113">
        <v>1144012300</v>
      </c>
      <c r="C113" t="s">
        <v>93</v>
      </c>
      <c r="D113" t="s">
        <v>0</v>
      </c>
      <c r="E113" t="s">
        <v>94</v>
      </c>
      <c r="F113" t="s">
        <v>135</v>
      </c>
      <c r="G113">
        <v>2</v>
      </c>
      <c r="H113">
        <v>5</v>
      </c>
      <c r="I113">
        <v>50000</v>
      </c>
      <c r="J113">
        <v>0</v>
      </c>
      <c r="K113" t="s">
        <v>168</v>
      </c>
      <c r="L113">
        <v>61</v>
      </c>
      <c r="M113">
        <v>18</v>
      </c>
      <c r="N113">
        <v>2777</v>
      </c>
      <c r="O113">
        <v>61.48</v>
      </c>
      <c r="P113">
        <v>18</v>
      </c>
      <c r="Q113">
        <v>2778</v>
      </c>
      <c r="R113" t="s">
        <v>136</v>
      </c>
      <c r="S113" s="40">
        <v>46066</v>
      </c>
      <c r="T113">
        <v>37.553311999999998</v>
      </c>
      <c r="U113">
        <v>126.90822</v>
      </c>
      <c r="V113" t="s">
        <v>169</v>
      </c>
      <c r="W113" t="s">
        <v>170</v>
      </c>
      <c r="X113">
        <v>1</v>
      </c>
      <c r="Y113">
        <v>0</v>
      </c>
      <c r="Z113">
        <v>0</v>
      </c>
      <c r="AA113" t="s">
        <v>148</v>
      </c>
      <c r="AB113" t="s">
        <v>171</v>
      </c>
      <c r="AC113">
        <v>50000</v>
      </c>
      <c r="AD113">
        <v>0</v>
      </c>
      <c r="AE113" t="s">
        <v>101</v>
      </c>
      <c r="AF113" t="s">
        <v>102</v>
      </c>
      <c r="AG113" t="s">
        <v>103</v>
      </c>
      <c r="AH113">
        <v>366.28942827341308</v>
      </c>
      <c r="AI113" t="s">
        <v>47</v>
      </c>
      <c r="AJ113" t="s">
        <v>104</v>
      </c>
      <c r="AK113">
        <v>1189.4476135252769</v>
      </c>
      <c r="AL113" t="s">
        <v>105</v>
      </c>
      <c r="AM113" s="41" t="s">
        <v>172</v>
      </c>
    </row>
    <row r="114" spans="1:45" hidden="1">
      <c r="A114">
        <v>2610589753</v>
      </c>
      <c r="B114">
        <v>1144012000</v>
      </c>
      <c r="C114" t="s">
        <v>134</v>
      </c>
      <c r="D114" t="s">
        <v>0</v>
      </c>
      <c r="E114" t="s">
        <v>94</v>
      </c>
      <c r="F114" t="s">
        <v>135</v>
      </c>
      <c r="G114" t="s">
        <v>35</v>
      </c>
      <c r="H114">
        <v>35</v>
      </c>
      <c r="I114">
        <v>42000</v>
      </c>
      <c r="J114">
        <v>0</v>
      </c>
      <c r="K114" t="s">
        <v>173</v>
      </c>
      <c r="L114">
        <v>110</v>
      </c>
      <c r="M114">
        <v>33</v>
      </c>
      <c r="N114">
        <v>1272</v>
      </c>
      <c r="O114">
        <v>49.9</v>
      </c>
      <c r="P114">
        <v>15</v>
      </c>
      <c r="Q114">
        <v>2800</v>
      </c>
      <c r="S114" s="40">
        <v>46078</v>
      </c>
      <c r="T114">
        <v>37.550941000000002</v>
      </c>
      <c r="U114">
        <v>126.913787</v>
      </c>
      <c r="V114" t="s">
        <v>174</v>
      </c>
      <c r="W114" t="s">
        <v>175</v>
      </c>
      <c r="X114">
        <v>1</v>
      </c>
      <c r="Y114">
        <v>0</v>
      </c>
      <c r="Z114">
        <v>0</v>
      </c>
      <c r="AA114" t="s">
        <v>176</v>
      </c>
      <c r="AB114" t="s">
        <v>177</v>
      </c>
      <c r="AC114">
        <v>42000</v>
      </c>
      <c r="AD114">
        <v>0</v>
      </c>
      <c r="AE114" t="s">
        <v>101</v>
      </c>
      <c r="AF114" t="s">
        <v>115</v>
      </c>
      <c r="AG114" t="s">
        <v>116</v>
      </c>
      <c r="AH114">
        <v>132.01770664783839</v>
      </c>
      <c r="AI114" t="s">
        <v>47</v>
      </c>
      <c r="AJ114" t="s">
        <v>104</v>
      </c>
      <c r="AK114">
        <v>528.48255152744889</v>
      </c>
      <c r="AL114">
        <v>1</v>
      </c>
      <c r="AM114" s="41" t="s">
        <v>178</v>
      </c>
    </row>
    <row r="115" spans="1:45" hidden="1">
      <c r="A115">
        <v>2609288825</v>
      </c>
      <c r="B115">
        <v>1144012000</v>
      </c>
      <c r="C115" t="s">
        <v>134</v>
      </c>
      <c r="D115" t="s">
        <v>0</v>
      </c>
      <c r="E115" t="s">
        <v>94</v>
      </c>
      <c r="F115" t="s">
        <v>95</v>
      </c>
      <c r="G115" t="s">
        <v>35</v>
      </c>
      <c r="H115">
        <v>18</v>
      </c>
      <c r="I115">
        <v>34000</v>
      </c>
      <c r="J115">
        <v>0</v>
      </c>
      <c r="K115" t="s">
        <v>179</v>
      </c>
      <c r="L115">
        <v>41</v>
      </c>
      <c r="M115">
        <v>12</v>
      </c>
      <c r="N115">
        <v>2833</v>
      </c>
      <c r="O115">
        <v>41.84</v>
      </c>
      <c r="P115">
        <v>12</v>
      </c>
      <c r="Q115">
        <v>2833</v>
      </c>
      <c r="R115" t="s">
        <v>161</v>
      </c>
      <c r="S115" s="40">
        <v>46072</v>
      </c>
      <c r="T115">
        <v>37.553798999999998</v>
      </c>
      <c r="U115">
        <v>126.92370099999999</v>
      </c>
      <c r="V115" t="s">
        <v>180</v>
      </c>
      <c r="W115" t="s">
        <v>181</v>
      </c>
      <c r="X115">
        <v>1</v>
      </c>
      <c r="Y115">
        <v>0</v>
      </c>
      <c r="Z115">
        <v>0</v>
      </c>
      <c r="AA115" t="s">
        <v>139</v>
      </c>
      <c r="AB115" t="s">
        <v>182</v>
      </c>
      <c r="AC115">
        <v>34000</v>
      </c>
      <c r="AD115">
        <v>0</v>
      </c>
      <c r="AE115" t="s">
        <v>101</v>
      </c>
      <c r="AF115" t="s">
        <v>165</v>
      </c>
      <c r="AG115" t="s">
        <v>166</v>
      </c>
      <c r="AH115">
        <v>344.14694489895248</v>
      </c>
      <c r="AI115" t="s">
        <v>47</v>
      </c>
      <c r="AJ115" t="s">
        <v>104</v>
      </c>
      <c r="AK115">
        <v>690.06417067304881</v>
      </c>
      <c r="AL115" t="s">
        <v>105</v>
      </c>
      <c r="AM115" s="41" t="s">
        <v>167</v>
      </c>
    </row>
    <row r="116" spans="1:45" hidden="1">
      <c r="A116">
        <v>2606896804</v>
      </c>
      <c r="B116">
        <v>1144012000</v>
      </c>
      <c r="C116" t="s">
        <v>134</v>
      </c>
      <c r="D116" t="s">
        <v>0</v>
      </c>
      <c r="E116" t="s">
        <v>94</v>
      </c>
      <c r="F116" t="s">
        <v>95</v>
      </c>
      <c r="G116">
        <v>1</v>
      </c>
      <c r="H116">
        <v>19</v>
      </c>
      <c r="I116">
        <v>30000</v>
      </c>
      <c r="J116">
        <v>0</v>
      </c>
      <c r="K116" t="s">
        <v>183</v>
      </c>
      <c r="L116">
        <v>34</v>
      </c>
      <c r="M116">
        <v>10</v>
      </c>
      <c r="N116">
        <v>3000</v>
      </c>
      <c r="O116">
        <v>34.340000000000003</v>
      </c>
      <c r="P116">
        <v>10</v>
      </c>
      <c r="Q116">
        <v>3000</v>
      </c>
      <c r="R116" t="s">
        <v>161</v>
      </c>
      <c r="S116" s="40">
        <v>46057</v>
      </c>
      <c r="T116">
        <v>37.553798999999998</v>
      </c>
      <c r="U116">
        <v>126.92370099999999</v>
      </c>
      <c r="V116" t="s">
        <v>184</v>
      </c>
      <c r="W116" t="s">
        <v>185</v>
      </c>
      <c r="X116">
        <v>1</v>
      </c>
      <c r="Y116">
        <v>0</v>
      </c>
      <c r="Z116">
        <v>0</v>
      </c>
      <c r="AA116" t="s">
        <v>139</v>
      </c>
      <c r="AB116" t="s">
        <v>186</v>
      </c>
      <c r="AC116">
        <v>30000</v>
      </c>
      <c r="AD116">
        <v>0</v>
      </c>
      <c r="AE116" t="s">
        <v>101</v>
      </c>
      <c r="AF116" t="s">
        <v>165</v>
      </c>
      <c r="AG116" t="s">
        <v>166</v>
      </c>
      <c r="AH116">
        <v>344.14694489895248</v>
      </c>
      <c r="AI116" t="s">
        <v>47</v>
      </c>
      <c r="AJ116" t="s">
        <v>104</v>
      </c>
      <c r="AK116">
        <v>690.06417067304881</v>
      </c>
      <c r="AL116" t="s">
        <v>105</v>
      </c>
      <c r="AM116" s="41" t="s">
        <v>167</v>
      </c>
    </row>
    <row r="117" spans="1:45">
      <c r="A117">
        <v>2611685170</v>
      </c>
      <c r="B117">
        <v>1144012100</v>
      </c>
      <c r="C117" t="s">
        <v>93</v>
      </c>
      <c r="D117" t="s">
        <v>0</v>
      </c>
      <c r="E117" t="s">
        <v>94</v>
      </c>
      <c r="F117" t="s">
        <v>95</v>
      </c>
      <c r="G117" t="s">
        <v>35</v>
      </c>
      <c r="H117">
        <v>18</v>
      </c>
      <c r="I117">
        <v>95000</v>
      </c>
      <c r="J117">
        <v>0</v>
      </c>
      <c r="K117" t="s">
        <v>518</v>
      </c>
      <c r="L117">
        <v>193</v>
      </c>
      <c r="M117">
        <v>58</v>
      </c>
      <c r="N117">
        <v>1637</v>
      </c>
      <c r="O117">
        <v>85.37</v>
      </c>
      <c r="P117">
        <v>25</v>
      </c>
      <c r="Q117">
        <v>3800</v>
      </c>
      <c r="R117" t="s">
        <v>161</v>
      </c>
      <c r="S117" s="40">
        <v>46084</v>
      </c>
      <c r="T117">
        <v>37.556083999999998</v>
      </c>
      <c r="U117">
        <v>126.92345400000001</v>
      </c>
      <c r="V117" t="s">
        <v>519</v>
      </c>
      <c r="W117" t="s">
        <v>431</v>
      </c>
      <c r="X117">
        <v>1</v>
      </c>
      <c r="Y117">
        <v>0</v>
      </c>
      <c r="Z117">
        <v>0</v>
      </c>
      <c r="AA117" t="s">
        <v>113</v>
      </c>
      <c r="AB117" t="s">
        <v>308</v>
      </c>
      <c r="AC117">
        <v>95000</v>
      </c>
      <c r="AD117">
        <v>0</v>
      </c>
      <c r="AE117" t="s">
        <v>101</v>
      </c>
      <c r="AF117" t="s">
        <v>165</v>
      </c>
      <c r="AG117" t="s">
        <v>166</v>
      </c>
      <c r="AH117">
        <v>93.058800607702921</v>
      </c>
      <c r="AI117" t="s">
        <v>47</v>
      </c>
      <c r="AJ117" t="s">
        <v>104</v>
      </c>
      <c r="AK117">
        <v>837.45711531045106</v>
      </c>
      <c r="AL117" t="s">
        <v>105</v>
      </c>
      <c r="AM117" s="41" t="s">
        <v>426</v>
      </c>
      <c r="AN117">
        <f>IFERROR(VALUE(LEFT($W117,FIND("년",$W117)-1)),"")</f>
        <v>25</v>
      </c>
      <c r="AO117" t="str">
        <f>IFERROR(IF(FIND("년",$W117)=3,MID($W117,FIND("년",$W117)+1,FIND("년",$W117)-1),MID($W117,FIND("년",$W117)+1,FIND("년",$W117))),"")</f>
        <v>이상</v>
      </c>
      <c r="AP117">
        <f>IFERROR(IF($AN117&lt;11,10,IF(AND($AN117&lt;26,$AO117="이내"),25,26)),"")</f>
        <v>26</v>
      </c>
      <c r="AQ117">
        <f>IFERROR(IF($P117&lt;10,9,IF($P117&lt;20,10,IF($P117&lt;30,20,IF($P117&lt;40,30,40)))),"")</f>
        <v>20</v>
      </c>
      <c r="AR117" t="str">
        <f>IFERROR(IF($D117="상가",IF($G117="1","1층",IF($G117="전체층","전체층",IF(LEFT($G117,1)="B","B1",IF($G117&lt;6,"저",IF($G117/$H117&lt;=$BC$9,"저",IF($G117/$H117&lt;=$BC$10,"중","고")))))),IF(LEFT($G117,1)="B","B1",IF($H117&lt;6,"저",IF($G117/$H117&lt;=$BC$2,"저",IF($G117/$H117&lt;=$BC$3,"중","고"))))),"")</f>
        <v>B1</v>
      </c>
      <c r="AS117">
        <f>IFERROR(ACOS(SIN(RADIANS(거래사례!$S$11))*SIN(RADIANS($T117))+COS(RADIANS(거래사례!$S$11))*COS(RADIANS($T117))*COS(RADIANS($U117-거래사례!$P$11)))*6371000,"")</f>
        <v>651.49171010077225</v>
      </c>
    </row>
    <row r="118" spans="1:45" hidden="1">
      <c r="A118">
        <v>2609638071</v>
      </c>
      <c r="B118">
        <v>1144012100</v>
      </c>
      <c r="C118" t="s">
        <v>93</v>
      </c>
      <c r="D118" t="s">
        <v>0</v>
      </c>
      <c r="E118" t="s">
        <v>94</v>
      </c>
      <c r="F118" t="s">
        <v>95</v>
      </c>
      <c r="G118">
        <v>3</v>
      </c>
      <c r="H118">
        <v>7</v>
      </c>
      <c r="I118">
        <v>40000</v>
      </c>
      <c r="J118">
        <v>0</v>
      </c>
      <c r="K118" t="s">
        <v>444</v>
      </c>
      <c r="L118">
        <v>68</v>
      </c>
      <c r="M118">
        <v>20</v>
      </c>
      <c r="N118">
        <v>2000</v>
      </c>
      <c r="O118">
        <v>43.51</v>
      </c>
      <c r="P118">
        <v>13</v>
      </c>
      <c r="Q118">
        <v>3077</v>
      </c>
      <c r="R118" t="s">
        <v>96</v>
      </c>
      <c r="S118" s="40">
        <v>46073</v>
      </c>
      <c r="T118">
        <v>37.556184999999999</v>
      </c>
      <c r="U118">
        <v>126.932214</v>
      </c>
      <c r="V118" t="s">
        <v>473</v>
      </c>
      <c r="W118" t="s">
        <v>474</v>
      </c>
      <c r="X118">
        <v>1</v>
      </c>
      <c r="Y118">
        <v>0</v>
      </c>
      <c r="Z118">
        <v>0</v>
      </c>
      <c r="AA118" t="s">
        <v>113</v>
      </c>
      <c r="AB118" t="s">
        <v>429</v>
      </c>
      <c r="AC118">
        <v>40000</v>
      </c>
      <c r="AD118">
        <v>0</v>
      </c>
      <c r="AE118" t="s">
        <v>101</v>
      </c>
      <c r="AF118" t="s">
        <v>475</v>
      </c>
      <c r="AG118" t="s">
        <v>476</v>
      </c>
      <c r="AH118">
        <v>557.27703901342352</v>
      </c>
      <c r="AI118" t="s">
        <v>47</v>
      </c>
      <c r="AJ118" t="s">
        <v>104</v>
      </c>
      <c r="AK118">
        <v>1295.656953549754</v>
      </c>
      <c r="AL118" t="s">
        <v>105</v>
      </c>
      <c r="AM118" s="41" t="s">
        <v>477</v>
      </c>
    </row>
    <row r="119" spans="1:45">
      <c r="A119">
        <v>2609169828</v>
      </c>
      <c r="B119">
        <v>1144012100</v>
      </c>
      <c r="C119" t="s">
        <v>93</v>
      </c>
      <c r="D119" t="s">
        <v>0</v>
      </c>
      <c r="E119" t="s">
        <v>94</v>
      </c>
      <c r="F119" t="s">
        <v>95</v>
      </c>
      <c r="G119" t="s">
        <v>35</v>
      </c>
      <c r="H119">
        <v>18</v>
      </c>
      <c r="I119">
        <v>95000</v>
      </c>
      <c r="J119">
        <v>0</v>
      </c>
      <c r="K119" t="s">
        <v>518</v>
      </c>
      <c r="L119">
        <v>85</v>
      </c>
      <c r="M119">
        <v>25</v>
      </c>
      <c r="N119">
        <v>3800</v>
      </c>
      <c r="O119">
        <v>85</v>
      </c>
      <c r="P119">
        <v>25</v>
      </c>
      <c r="Q119">
        <v>3800</v>
      </c>
      <c r="R119" t="s">
        <v>121</v>
      </c>
      <c r="S119" s="40">
        <v>46072</v>
      </c>
      <c r="T119">
        <v>37.556083999999998</v>
      </c>
      <c r="U119">
        <v>126.923455</v>
      </c>
      <c r="V119" t="s">
        <v>520</v>
      </c>
      <c r="W119" t="s">
        <v>431</v>
      </c>
      <c r="X119">
        <v>1</v>
      </c>
      <c r="Y119">
        <v>0</v>
      </c>
      <c r="Z119">
        <v>0</v>
      </c>
      <c r="AA119" t="s">
        <v>113</v>
      </c>
      <c r="AB119" t="s">
        <v>432</v>
      </c>
      <c r="AC119">
        <v>95000</v>
      </c>
      <c r="AD119">
        <v>0</v>
      </c>
      <c r="AE119" t="s">
        <v>101</v>
      </c>
      <c r="AF119" t="s">
        <v>165</v>
      </c>
      <c r="AG119" t="s">
        <v>166</v>
      </c>
      <c r="AH119">
        <v>93.029525670005455</v>
      </c>
      <c r="AI119" t="s">
        <v>47</v>
      </c>
      <c r="AJ119" t="s">
        <v>104</v>
      </c>
      <c r="AK119">
        <v>837.53034349574909</v>
      </c>
      <c r="AL119" t="s">
        <v>105</v>
      </c>
      <c r="AM119" s="41" t="s">
        <v>426</v>
      </c>
      <c r="AN119">
        <f t="shared" ref="AN119:AN120" si="55">IFERROR(VALUE(LEFT($W119,FIND("년",$W119)-1)),"")</f>
        <v>25</v>
      </c>
      <c r="AO119" t="str">
        <f t="shared" ref="AO119:AO120" si="56">IFERROR(IF(FIND("년",$W119)=3,MID($W119,FIND("년",$W119)+1,FIND("년",$W119)-1),MID($W119,FIND("년",$W119)+1,FIND("년",$W119))),"")</f>
        <v>이상</v>
      </c>
      <c r="AP119">
        <f t="shared" ref="AP119:AP120" si="57">IFERROR(IF($AN119&lt;11,10,IF(AND($AN119&lt;26,$AO119="이내"),25,26)),"")</f>
        <v>26</v>
      </c>
      <c r="AQ119">
        <f t="shared" ref="AQ119:AQ120" si="58">IFERROR(IF($P119&lt;10,9,IF($P119&lt;20,10,IF($P119&lt;30,20,IF($P119&lt;40,30,40)))),"")</f>
        <v>20</v>
      </c>
      <c r="AR119" t="str">
        <f t="shared" ref="AR119:AR120" si="59">IFERROR(IF($D119="상가",IF($G119="1","1층",IF($G119="전체층","전체층",IF(LEFT($G119,1)="B","B1",IF($G119&lt;6,"저",IF($G119/$H119&lt;=$BC$9,"저",IF($G119/$H119&lt;=$BC$10,"중","고")))))),IF(LEFT($G119,1)="B","B1",IF($H119&lt;6,"저",IF($G119/$H119&lt;=$BC$2,"저",IF($G119/$H119&lt;=$BC$3,"중","고"))))),"")</f>
        <v>B1</v>
      </c>
      <c r="AS119">
        <f>IFERROR(ACOS(SIN(RADIANS(거래사례!$S$11))*SIN(RADIANS($T119))+COS(RADIANS(거래사례!$S$11))*COS(RADIANS($T119))*COS(RADIANS($U119-거래사례!$P$11)))*6371000,"")</f>
        <v>651.4235742815664</v>
      </c>
    </row>
    <row r="120" spans="1:45">
      <c r="A120">
        <v>2611685170</v>
      </c>
      <c r="B120">
        <v>1144012100</v>
      </c>
      <c r="C120" t="s">
        <v>93</v>
      </c>
      <c r="D120" t="s">
        <v>0</v>
      </c>
      <c r="E120" t="s">
        <v>94</v>
      </c>
      <c r="F120" t="s">
        <v>95</v>
      </c>
      <c r="G120" t="s">
        <v>35</v>
      </c>
      <c r="H120">
        <v>18</v>
      </c>
      <c r="I120">
        <v>95000</v>
      </c>
      <c r="J120">
        <v>0</v>
      </c>
      <c r="K120" t="s">
        <v>518</v>
      </c>
      <c r="L120">
        <v>193</v>
      </c>
      <c r="M120">
        <v>58</v>
      </c>
      <c r="N120">
        <v>1637</v>
      </c>
      <c r="O120">
        <v>85.37</v>
      </c>
      <c r="P120">
        <v>25</v>
      </c>
      <c r="Q120">
        <v>3800</v>
      </c>
      <c r="R120" t="s">
        <v>161</v>
      </c>
      <c r="S120" s="40">
        <v>46084</v>
      </c>
      <c r="T120">
        <v>37.556083999999998</v>
      </c>
      <c r="U120">
        <v>126.92345400000001</v>
      </c>
      <c r="V120" t="s">
        <v>519</v>
      </c>
      <c r="W120" t="s">
        <v>431</v>
      </c>
      <c r="X120">
        <v>1</v>
      </c>
      <c r="Y120">
        <v>0</v>
      </c>
      <c r="Z120">
        <v>0</v>
      </c>
      <c r="AA120" t="s">
        <v>113</v>
      </c>
      <c r="AB120" t="s">
        <v>308</v>
      </c>
      <c r="AC120">
        <v>95000</v>
      </c>
      <c r="AD120">
        <v>0</v>
      </c>
      <c r="AE120" t="s">
        <v>101</v>
      </c>
      <c r="AF120" t="s">
        <v>165</v>
      </c>
      <c r="AG120" t="s">
        <v>166</v>
      </c>
      <c r="AH120">
        <v>93.058800607702921</v>
      </c>
      <c r="AI120" t="s">
        <v>47</v>
      </c>
      <c r="AJ120" t="s">
        <v>104</v>
      </c>
      <c r="AK120">
        <v>837.45711531045106</v>
      </c>
      <c r="AL120" t="s">
        <v>105</v>
      </c>
      <c r="AM120" s="41" t="s">
        <v>426</v>
      </c>
      <c r="AN120">
        <f t="shared" si="55"/>
        <v>25</v>
      </c>
      <c r="AO120" t="str">
        <f t="shared" si="56"/>
        <v>이상</v>
      </c>
      <c r="AP120">
        <f t="shared" si="57"/>
        <v>26</v>
      </c>
      <c r="AQ120">
        <f t="shared" si="58"/>
        <v>20</v>
      </c>
      <c r="AR120" t="str">
        <f t="shared" si="59"/>
        <v>B1</v>
      </c>
      <c r="AS120">
        <f>IFERROR(ACOS(SIN(RADIANS(거래사례!$S$11))*SIN(RADIANS($T120))+COS(RADIANS(거래사례!$S$11))*COS(RADIANS($T120))*COS(RADIANS($U120-거래사례!$P$11)))*6371000,"")</f>
        <v>651.49171010077225</v>
      </c>
    </row>
    <row r="121" spans="1:45" hidden="1">
      <c r="A121">
        <v>2611760740</v>
      </c>
      <c r="B121">
        <v>1144012000</v>
      </c>
      <c r="C121" t="s">
        <v>134</v>
      </c>
      <c r="D121" t="s">
        <v>0</v>
      </c>
      <c r="E121" t="s">
        <v>94</v>
      </c>
      <c r="F121" t="s">
        <v>108</v>
      </c>
      <c r="G121">
        <v>1</v>
      </c>
      <c r="H121">
        <v>12</v>
      </c>
      <c r="I121">
        <v>48000</v>
      </c>
      <c r="J121">
        <v>0</v>
      </c>
      <c r="K121" t="s">
        <v>339</v>
      </c>
      <c r="L121">
        <v>81</v>
      </c>
      <c r="M121">
        <v>24</v>
      </c>
      <c r="N121">
        <v>2000</v>
      </c>
      <c r="O121">
        <v>50.2</v>
      </c>
      <c r="P121">
        <v>15</v>
      </c>
      <c r="Q121">
        <v>3200</v>
      </c>
      <c r="R121" t="s">
        <v>110</v>
      </c>
      <c r="S121" s="40">
        <v>46084</v>
      </c>
      <c r="T121">
        <v>37.557372000000001</v>
      </c>
      <c r="U121">
        <v>126.916798</v>
      </c>
      <c r="V121" t="s">
        <v>488</v>
      </c>
      <c r="W121" t="s">
        <v>489</v>
      </c>
      <c r="X121">
        <v>1</v>
      </c>
      <c r="Y121">
        <v>0</v>
      </c>
      <c r="Z121">
        <v>0</v>
      </c>
      <c r="AA121" t="s">
        <v>113</v>
      </c>
      <c r="AB121" t="s">
        <v>490</v>
      </c>
      <c r="AC121">
        <v>48000</v>
      </c>
      <c r="AD121">
        <v>0</v>
      </c>
      <c r="AE121" t="s">
        <v>101</v>
      </c>
      <c r="AF121" t="s">
        <v>102</v>
      </c>
      <c r="AG121" t="s">
        <v>103</v>
      </c>
      <c r="AH121">
        <v>767.06448863561582</v>
      </c>
      <c r="AI121" t="s">
        <v>47</v>
      </c>
      <c r="AJ121" t="s">
        <v>104</v>
      </c>
      <c r="AK121">
        <v>797.1523313902012</v>
      </c>
      <c r="AL121" t="s">
        <v>105</v>
      </c>
      <c r="AM121" s="41" t="s">
        <v>472</v>
      </c>
    </row>
    <row r="122" spans="1:45" hidden="1">
      <c r="A122">
        <v>2611583392</v>
      </c>
      <c r="B122">
        <v>1144012000</v>
      </c>
      <c r="C122" t="s">
        <v>134</v>
      </c>
      <c r="D122" t="s">
        <v>0</v>
      </c>
      <c r="E122" t="s">
        <v>94</v>
      </c>
      <c r="F122" t="s">
        <v>135</v>
      </c>
      <c r="G122">
        <v>1</v>
      </c>
      <c r="H122">
        <v>12</v>
      </c>
      <c r="I122">
        <v>48000</v>
      </c>
      <c r="J122">
        <v>0</v>
      </c>
      <c r="K122" t="s">
        <v>339</v>
      </c>
      <c r="L122">
        <v>50</v>
      </c>
      <c r="M122">
        <v>15</v>
      </c>
      <c r="N122">
        <v>3200</v>
      </c>
      <c r="O122">
        <v>50.2</v>
      </c>
      <c r="P122">
        <v>15</v>
      </c>
      <c r="Q122">
        <v>3200</v>
      </c>
      <c r="R122" t="s">
        <v>110</v>
      </c>
      <c r="S122" s="40">
        <v>46084</v>
      </c>
      <c r="T122">
        <v>37.557372000000001</v>
      </c>
      <c r="U122">
        <v>126.916798</v>
      </c>
      <c r="V122" t="s">
        <v>491</v>
      </c>
      <c r="W122" t="s">
        <v>489</v>
      </c>
      <c r="X122">
        <v>4</v>
      </c>
      <c r="Y122" t="s">
        <v>339</v>
      </c>
      <c r="Z122" t="s">
        <v>339</v>
      </c>
      <c r="AA122" t="s">
        <v>99</v>
      </c>
      <c r="AB122" t="s">
        <v>492</v>
      </c>
      <c r="AC122">
        <v>48000</v>
      </c>
      <c r="AD122">
        <v>0</v>
      </c>
      <c r="AE122" t="s">
        <v>101</v>
      </c>
      <c r="AF122" t="s">
        <v>102</v>
      </c>
      <c r="AG122" t="s">
        <v>103</v>
      </c>
      <c r="AH122">
        <v>767.06448863561582</v>
      </c>
      <c r="AI122" t="s">
        <v>47</v>
      </c>
      <c r="AJ122" t="s">
        <v>104</v>
      </c>
      <c r="AK122">
        <v>797.1523313902012</v>
      </c>
      <c r="AL122" t="s">
        <v>105</v>
      </c>
      <c r="AM122" s="41" t="s">
        <v>472</v>
      </c>
    </row>
    <row r="123" spans="1:45" hidden="1">
      <c r="A123">
        <v>2610693483</v>
      </c>
      <c r="B123">
        <v>1144012000</v>
      </c>
      <c r="C123" t="s">
        <v>134</v>
      </c>
      <c r="D123" t="s">
        <v>0</v>
      </c>
      <c r="E123" t="s">
        <v>94</v>
      </c>
      <c r="F123" t="s">
        <v>135</v>
      </c>
      <c r="G123">
        <v>1</v>
      </c>
      <c r="H123">
        <v>12</v>
      </c>
      <c r="I123">
        <v>48000</v>
      </c>
      <c r="J123">
        <v>0</v>
      </c>
      <c r="K123" t="s">
        <v>339</v>
      </c>
      <c r="L123">
        <v>50</v>
      </c>
      <c r="M123">
        <v>15</v>
      </c>
      <c r="N123">
        <v>3200</v>
      </c>
      <c r="O123">
        <v>50.2</v>
      </c>
      <c r="P123">
        <v>15</v>
      </c>
      <c r="Q123">
        <v>3200</v>
      </c>
      <c r="R123" t="s">
        <v>121</v>
      </c>
      <c r="S123" s="40">
        <v>46079</v>
      </c>
      <c r="T123">
        <v>37.557372000000001</v>
      </c>
      <c r="U123">
        <v>126.916798</v>
      </c>
      <c r="V123" t="s">
        <v>493</v>
      </c>
      <c r="W123" t="s">
        <v>494</v>
      </c>
      <c r="X123">
        <v>1</v>
      </c>
      <c r="Y123">
        <v>0</v>
      </c>
      <c r="Z123">
        <v>0</v>
      </c>
      <c r="AA123" t="s">
        <v>139</v>
      </c>
      <c r="AB123" t="s">
        <v>492</v>
      </c>
      <c r="AC123">
        <v>48000</v>
      </c>
      <c r="AD123">
        <v>0</v>
      </c>
      <c r="AE123" t="s">
        <v>101</v>
      </c>
      <c r="AF123" t="s">
        <v>102</v>
      </c>
      <c r="AG123" t="s">
        <v>103</v>
      </c>
      <c r="AH123">
        <v>767.06448863561582</v>
      </c>
      <c r="AI123" t="s">
        <v>47</v>
      </c>
      <c r="AJ123" t="s">
        <v>104</v>
      </c>
      <c r="AK123">
        <v>797.1523313902012</v>
      </c>
      <c r="AL123" t="s">
        <v>105</v>
      </c>
      <c r="AM123" s="41" t="s">
        <v>472</v>
      </c>
    </row>
    <row r="124" spans="1:45" hidden="1">
      <c r="A124">
        <v>2607307730</v>
      </c>
      <c r="B124">
        <v>1144012000</v>
      </c>
      <c r="C124" t="s">
        <v>93</v>
      </c>
      <c r="D124" t="s">
        <v>0</v>
      </c>
      <c r="E124" t="s">
        <v>94</v>
      </c>
      <c r="F124" t="s">
        <v>108</v>
      </c>
      <c r="G124">
        <v>1</v>
      </c>
      <c r="H124">
        <v>12</v>
      </c>
      <c r="I124">
        <v>48000</v>
      </c>
      <c r="J124">
        <v>0</v>
      </c>
      <c r="K124" t="s">
        <v>339</v>
      </c>
      <c r="L124">
        <v>81</v>
      </c>
      <c r="M124">
        <v>24</v>
      </c>
      <c r="N124">
        <v>2000</v>
      </c>
      <c r="O124">
        <v>50.2</v>
      </c>
      <c r="P124">
        <v>15</v>
      </c>
      <c r="Q124">
        <v>3200</v>
      </c>
      <c r="R124" t="s">
        <v>110</v>
      </c>
      <c r="S124" s="40">
        <v>46059</v>
      </c>
      <c r="T124">
        <v>37.557372999999998</v>
      </c>
      <c r="U124">
        <v>126.916798</v>
      </c>
      <c r="V124" t="s">
        <v>495</v>
      </c>
      <c r="W124" t="s">
        <v>489</v>
      </c>
      <c r="X124">
        <v>1</v>
      </c>
      <c r="Y124">
        <v>0</v>
      </c>
      <c r="Z124">
        <v>0</v>
      </c>
      <c r="AA124" t="s">
        <v>328</v>
      </c>
      <c r="AB124" t="s">
        <v>329</v>
      </c>
      <c r="AC124">
        <v>48000</v>
      </c>
      <c r="AD124">
        <v>0</v>
      </c>
      <c r="AE124" t="s">
        <v>101</v>
      </c>
      <c r="AF124" t="s">
        <v>102</v>
      </c>
      <c r="AG124" t="s">
        <v>103</v>
      </c>
      <c r="AH124">
        <v>767.08573569644557</v>
      </c>
      <c r="AI124" t="s">
        <v>47</v>
      </c>
      <c r="AJ124" t="s">
        <v>104</v>
      </c>
      <c r="AK124">
        <v>797.26044038606585</v>
      </c>
      <c r="AL124" t="s">
        <v>105</v>
      </c>
      <c r="AM124" s="41" t="s">
        <v>472</v>
      </c>
    </row>
    <row r="125" spans="1:45" hidden="1">
      <c r="A125">
        <v>2607091330</v>
      </c>
      <c r="B125">
        <v>1144012000</v>
      </c>
      <c r="C125" t="s">
        <v>134</v>
      </c>
      <c r="D125" t="s">
        <v>0</v>
      </c>
      <c r="E125" t="s">
        <v>94</v>
      </c>
      <c r="F125" t="s">
        <v>108</v>
      </c>
      <c r="G125">
        <v>1</v>
      </c>
      <c r="H125">
        <v>12</v>
      </c>
      <c r="I125">
        <v>48000</v>
      </c>
      <c r="J125">
        <v>0</v>
      </c>
      <c r="K125" t="s">
        <v>339</v>
      </c>
      <c r="L125">
        <v>81</v>
      </c>
      <c r="M125">
        <v>24</v>
      </c>
      <c r="N125">
        <v>2000</v>
      </c>
      <c r="O125">
        <v>50.2</v>
      </c>
      <c r="P125">
        <v>15</v>
      </c>
      <c r="Q125">
        <v>3200</v>
      </c>
      <c r="R125" t="s">
        <v>110</v>
      </c>
      <c r="S125" s="40">
        <v>46058</v>
      </c>
      <c r="T125">
        <v>37.557372999999998</v>
      </c>
      <c r="U125">
        <v>126.916798</v>
      </c>
      <c r="V125" t="s">
        <v>496</v>
      </c>
      <c r="W125" t="s">
        <v>497</v>
      </c>
      <c r="X125">
        <v>1</v>
      </c>
      <c r="Y125">
        <v>0</v>
      </c>
      <c r="Z125">
        <v>0</v>
      </c>
      <c r="AA125" t="s">
        <v>113</v>
      </c>
      <c r="AB125" t="s">
        <v>498</v>
      </c>
      <c r="AC125">
        <v>48000</v>
      </c>
      <c r="AD125">
        <v>0</v>
      </c>
      <c r="AE125" t="s">
        <v>101</v>
      </c>
      <c r="AF125" t="s">
        <v>102</v>
      </c>
      <c r="AG125" t="s">
        <v>103</v>
      </c>
      <c r="AH125">
        <v>767.08573569644557</v>
      </c>
      <c r="AI125" t="s">
        <v>47</v>
      </c>
      <c r="AJ125" t="s">
        <v>104</v>
      </c>
      <c r="AK125">
        <v>797.26044038606585</v>
      </c>
      <c r="AL125" t="s">
        <v>105</v>
      </c>
      <c r="AM125" s="41" t="s">
        <v>472</v>
      </c>
    </row>
    <row r="126" spans="1:45" hidden="1">
      <c r="A126">
        <v>2611891693</v>
      </c>
      <c r="B126">
        <v>1144011400</v>
      </c>
      <c r="C126" t="s">
        <v>134</v>
      </c>
      <c r="D126" t="s">
        <v>0</v>
      </c>
      <c r="E126" t="s">
        <v>94</v>
      </c>
      <c r="F126" t="s">
        <v>135</v>
      </c>
      <c r="G126">
        <v>2</v>
      </c>
      <c r="H126">
        <v>2</v>
      </c>
      <c r="I126">
        <v>45000</v>
      </c>
      <c r="J126">
        <v>0</v>
      </c>
      <c r="K126" t="s">
        <v>203</v>
      </c>
      <c r="L126">
        <v>49</v>
      </c>
      <c r="M126">
        <v>14</v>
      </c>
      <c r="N126">
        <v>3214</v>
      </c>
      <c r="O126">
        <v>49</v>
      </c>
      <c r="P126">
        <v>14</v>
      </c>
      <c r="Q126">
        <v>3214</v>
      </c>
      <c r="R126" t="s">
        <v>145</v>
      </c>
      <c r="S126" s="40">
        <v>46085</v>
      </c>
      <c r="T126">
        <v>37.548369000000001</v>
      </c>
      <c r="U126">
        <v>126.92944799999999</v>
      </c>
      <c r="V126" t="s">
        <v>499</v>
      </c>
      <c r="W126" t="s">
        <v>479</v>
      </c>
      <c r="X126">
        <v>1</v>
      </c>
      <c r="Y126">
        <v>0</v>
      </c>
      <c r="Z126">
        <v>0</v>
      </c>
      <c r="AA126" t="s">
        <v>176</v>
      </c>
      <c r="AB126" t="s">
        <v>500</v>
      </c>
      <c r="AC126">
        <v>45000</v>
      </c>
      <c r="AD126">
        <v>0</v>
      </c>
      <c r="AE126" t="s">
        <v>101</v>
      </c>
      <c r="AF126" t="s">
        <v>481</v>
      </c>
      <c r="AG126" t="s">
        <v>103</v>
      </c>
      <c r="AH126">
        <v>353.10489569662644</v>
      </c>
      <c r="AI126" t="s">
        <v>47</v>
      </c>
      <c r="AJ126" t="s">
        <v>104</v>
      </c>
      <c r="AK126">
        <v>1239.2769741190828</v>
      </c>
      <c r="AL126" t="s">
        <v>105</v>
      </c>
      <c r="AM126" s="41" t="s">
        <v>482</v>
      </c>
    </row>
    <row r="127" spans="1:45" hidden="1">
      <c r="A127">
        <v>2609225120</v>
      </c>
      <c r="B127">
        <v>1144011400</v>
      </c>
      <c r="C127" t="s">
        <v>134</v>
      </c>
      <c r="D127" t="s">
        <v>0</v>
      </c>
      <c r="E127" t="s">
        <v>94</v>
      </c>
      <c r="F127" t="s">
        <v>119</v>
      </c>
      <c r="G127">
        <v>2</v>
      </c>
      <c r="H127">
        <v>2</v>
      </c>
      <c r="I127">
        <v>45000</v>
      </c>
      <c r="J127">
        <v>0</v>
      </c>
      <c r="K127" t="s">
        <v>203</v>
      </c>
      <c r="L127">
        <v>49</v>
      </c>
      <c r="M127">
        <v>14</v>
      </c>
      <c r="N127">
        <v>3214</v>
      </c>
      <c r="O127">
        <v>49</v>
      </c>
      <c r="P127">
        <v>14</v>
      </c>
      <c r="Q127">
        <v>3214</v>
      </c>
      <c r="R127" t="s">
        <v>145</v>
      </c>
      <c r="S127" s="40">
        <v>46072</v>
      </c>
      <c r="T127">
        <v>37.548369000000001</v>
      </c>
      <c r="U127">
        <v>126.92944799999999</v>
      </c>
      <c r="V127" t="s">
        <v>501</v>
      </c>
      <c r="W127" t="s">
        <v>479</v>
      </c>
      <c r="X127">
        <v>3</v>
      </c>
      <c r="Y127" t="s">
        <v>238</v>
      </c>
      <c r="Z127" t="s">
        <v>203</v>
      </c>
      <c r="AA127" t="s">
        <v>124</v>
      </c>
      <c r="AB127" t="s">
        <v>502</v>
      </c>
      <c r="AC127">
        <v>45000</v>
      </c>
      <c r="AD127">
        <v>0</v>
      </c>
      <c r="AE127" t="s">
        <v>101</v>
      </c>
      <c r="AF127" t="s">
        <v>481</v>
      </c>
      <c r="AG127" t="s">
        <v>103</v>
      </c>
      <c r="AH127">
        <v>353.10489569662644</v>
      </c>
      <c r="AI127" t="s">
        <v>47</v>
      </c>
      <c r="AJ127" t="s">
        <v>104</v>
      </c>
      <c r="AK127">
        <v>1239.2769741190828</v>
      </c>
      <c r="AL127" t="s">
        <v>105</v>
      </c>
      <c r="AM127" s="41" t="s">
        <v>482</v>
      </c>
    </row>
    <row r="128" spans="1:45" hidden="1">
      <c r="A128">
        <v>2611895524</v>
      </c>
      <c r="B128">
        <v>1141011600</v>
      </c>
      <c r="C128" t="s">
        <v>134</v>
      </c>
      <c r="D128" t="s">
        <v>0</v>
      </c>
      <c r="E128" t="s">
        <v>94</v>
      </c>
      <c r="F128" t="s">
        <v>95</v>
      </c>
      <c r="G128">
        <v>5</v>
      </c>
      <c r="H128">
        <v>15</v>
      </c>
      <c r="I128">
        <v>52100</v>
      </c>
      <c r="J128">
        <v>0</v>
      </c>
      <c r="K128" t="s">
        <v>503</v>
      </c>
      <c r="L128">
        <v>93</v>
      </c>
      <c r="M128">
        <v>28</v>
      </c>
      <c r="N128">
        <v>1860</v>
      </c>
      <c r="O128">
        <v>54.04</v>
      </c>
      <c r="P128">
        <v>16</v>
      </c>
      <c r="Q128">
        <v>3256</v>
      </c>
      <c r="R128" t="s">
        <v>208</v>
      </c>
      <c r="S128" s="40">
        <v>46085</v>
      </c>
      <c r="T128">
        <v>37.556063999999999</v>
      </c>
      <c r="U128">
        <v>126.93825</v>
      </c>
      <c r="V128" t="s">
        <v>504</v>
      </c>
      <c r="W128" t="s">
        <v>485</v>
      </c>
      <c r="X128">
        <v>1</v>
      </c>
      <c r="Y128">
        <v>0</v>
      </c>
      <c r="Z128">
        <v>0</v>
      </c>
      <c r="AA128" t="s">
        <v>113</v>
      </c>
      <c r="AB128" t="s">
        <v>505</v>
      </c>
      <c r="AC128">
        <v>52100</v>
      </c>
      <c r="AD128">
        <v>0</v>
      </c>
      <c r="AE128" t="s">
        <v>101</v>
      </c>
      <c r="AF128" t="s">
        <v>436</v>
      </c>
      <c r="AG128" t="s">
        <v>437</v>
      </c>
      <c r="AH128">
        <v>172.70504045212317</v>
      </c>
      <c r="AI128" t="s">
        <v>48</v>
      </c>
      <c r="AJ128" t="s">
        <v>104</v>
      </c>
      <c r="AK128">
        <v>639.01446691631702</v>
      </c>
      <c r="AL128" t="s">
        <v>105</v>
      </c>
      <c r="AM128" s="41" t="s">
        <v>438</v>
      </c>
    </row>
    <row r="129" spans="1:45" hidden="1">
      <c r="A129">
        <v>2607931041</v>
      </c>
      <c r="B129">
        <v>1144012100</v>
      </c>
      <c r="C129" t="s">
        <v>134</v>
      </c>
      <c r="D129" t="s">
        <v>0</v>
      </c>
      <c r="E129" t="s">
        <v>94</v>
      </c>
      <c r="F129" t="s">
        <v>95</v>
      </c>
      <c r="G129" t="s">
        <v>35</v>
      </c>
      <c r="H129">
        <v>18</v>
      </c>
      <c r="I129">
        <v>23000</v>
      </c>
      <c r="J129">
        <v>0</v>
      </c>
      <c r="K129" t="s">
        <v>235</v>
      </c>
      <c r="L129">
        <v>55</v>
      </c>
      <c r="M129">
        <v>16</v>
      </c>
      <c r="N129">
        <v>1437</v>
      </c>
      <c r="O129">
        <v>24.57</v>
      </c>
      <c r="P129">
        <v>7</v>
      </c>
      <c r="Q129">
        <v>3286</v>
      </c>
      <c r="R129" t="s">
        <v>136</v>
      </c>
      <c r="S129" s="40">
        <v>46063</v>
      </c>
      <c r="T129">
        <v>37.556083999999998</v>
      </c>
      <c r="U129">
        <v>126.923455</v>
      </c>
      <c r="V129" t="s">
        <v>506</v>
      </c>
      <c r="W129" t="s">
        <v>431</v>
      </c>
      <c r="X129">
        <v>1</v>
      </c>
      <c r="Y129">
        <v>0</v>
      </c>
      <c r="Z129">
        <v>0</v>
      </c>
      <c r="AA129" t="s">
        <v>113</v>
      </c>
      <c r="AB129" t="s">
        <v>432</v>
      </c>
      <c r="AC129">
        <v>23000</v>
      </c>
      <c r="AD129">
        <v>0</v>
      </c>
      <c r="AE129" t="s">
        <v>101</v>
      </c>
      <c r="AF129" t="s">
        <v>165</v>
      </c>
      <c r="AG129" t="s">
        <v>166</v>
      </c>
      <c r="AH129">
        <v>93.029525670005455</v>
      </c>
      <c r="AI129" t="s">
        <v>47</v>
      </c>
      <c r="AJ129" t="s">
        <v>104</v>
      </c>
      <c r="AK129">
        <v>837.53034349574909</v>
      </c>
      <c r="AL129" t="s">
        <v>105</v>
      </c>
      <c r="AM129" s="41" t="s">
        <v>426</v>
      </c>
    </row>
    <row r="130" spans="1:45" hidden="1">
      <c r="A130">
        <v>2610163162</v>
      </c>
      <c r="B130">
        <v>1144012000</v>
      </c>
      <c r="C130" t="s">
        <v>134</v>
      </c>
      <c r="D130" t="s">
        <v>0</v>
      </c>
      <c r="E130" t="s">
        <v>94</v>
      </c>
      <c r="F130" t="s">
        <v>95</v>
      </c>
      <c r="G130">
        <v>1</v>
      </c>
      <c r="H130">
        <v>19</v>
      </c>
      <c r="I130">
        <v>33000</v>
      </c>
      <c r="J130">
        <v>0</v>
      </c>
      <c r="K130" t="s">
        <v>191</v>
      </c>
      <c r="L130">
        <v>34</v>
      </c>
      <c r="M130">
        <v>10</v>
      </c>
      <c r="N130">
        <v>3300</v>
      </c>
      <c r="O130">
        <v>34.94</v>
      </c>
      <c r="P130">
        <v>10</v>
      </c>
      <c r="Q130">
        <v>3300</v>
      </c>
      <c r="R130" t="s">
        <v>161</v>
      </c>
      <c r="S130" s="40">
        <v>46076</v>
      </c>
      <c r="T130">
        <v>37.553798999999998</v>
      </c>
      <c r="U130">
        <v>126.92370099999999</v>
      </c>
      <c r="V130" t="s">
        <v>192</v>
      </c>
      <c r="W130" t="s">
        <v>193</v>
      </c>
      <c r="X130">
        <v>1</v>
      </c>
      <c r="Y130">
        <v>0</v>
      </c>
      <c r="Z130">
        <v>0</v>
      </c>
      <c r="AA130" t="s">
        <v>139</v>
      </c>
      <c r="AB130" t="s">
        <v>186</v>
      </c>
      <c r="AC130">
        <v>33000</v>
      </c>
      <c r="AD130">
        <v>0</v>
      </c>
      <c r="AE130" t="s">
        <v>101</v>
      </c>
      <c r="AF130" t="s">
        <v>165</v>
      </c>
      <c r="AG130" t="s">
        <v>166</v>
      </c>
      <c r="AH130">
        <v>344.14694489895248</v>
      </c>
      <c r="AI130" t="s">
        <v>47</v>
      </c>
      <c r="AJ130" t="s">
        <v>104</v>
      </c>
      <c r="AK130">
        <v>690.06417067304881</v>
      </c>
      <c r="AL130" t="s">
        <v>105</v>
      </c>
      <c r="AM130" s="41" t="s">
        <v>167</v>
      </c>
    </row>
    <row r="131" spans="1:45" hidden="1">
      <c r="A131">
        <v>2611847979</v>
      </c>
      <c r="B131">
        <v>1144012000</v>
      </c>
      <c r="C131" t="s">
        <v>93</v>
      </c>
      <c r="D131" t="s">
        <v>0</v>
      </c>
      <c r="E131" t="s">
        <v>94</v>
      </c>
      <c r="F131" t="s">
        <v>108</v>
      </c>
      <c r="G131">
        <v>1</v>
      </c>
      <c r="H131">
        <v>5</v>
      </c>
      <c r="I131">
        <v>43000</v>
      </c>
      <c r="J131">
        <v>0</v>
      </c>
      <c r="K131" t="s">
        <v>507</v>
      </c>
      <c r="L131">
        <v>45</v>
      </c>
      <c r="M131">
        <v>13</v>
      </c>
      <c r="N131">
        <v>3307</v>
      </c>
      <c r="O131">
        <v>45.47</v>
      </c>
      <c r="P131">
        <v>13</v>
      </c>
      <c r="Q131">
        <v>3308</v>
      </c>
      <c r="R131" t="s">
        <v>96</v>
      </c>
      <c r="S131" s="40">
        <v>46085</v>
      </c>
      <c r="T131">
        <v>37.556268000000003</v>
      </c>
      <c r="U131">
        <v>126.91333</v>
      </c>
      <c r="V131" t="s">
        <v>508</v>
      </c>
      <c r="W131" t="s">
        <v>509</v>
      </c>
      <c r="X131">
        <v>1</v>
      </c>
      <c r="Y131">
        <v>0</v>
      </c>
      <c r="Z131">
        <v>0</v>
      </c>
      <c r="AA131" t="s">
        <v>99</v>
      </c>
      <c r="AB131" t="s">
        <v>267</v>
      </c>
      <c r="AC131">
        <v>43000</v>
      </c>
      <c r="AD131">
        <v>0</v>
      </c>
      <c r="AE131" t="s">
        <v>101</v>
      </c>
      <c r="AF131" t="s">
        <v>102</v>
      </c>
      <c r="AG131" t="s">
        <v>103</v>
      </c>
      <c r="AH131">
        <v>367.66631075244646</v>
      </c>
      <c r="AI131" t="s">
        <v>47</v>
      </c>
      <c r="AJ131" t="s">
        <v>104</v>
      </c>
      <c r="AK131">
        <v>869.52460361667931</v>
      </c>
      <c r="AL131" t="s">
        <v>105</v>
      </c>
      <c r="AM131" s="41" t="s">
        <v>510</v>
      </c>
    </row>
    <row r="132" spans="1:45" hidden="1">
      <c r="A132">
        <v>2609949721</v>
      </c>
      <c r="B132">
        <v>1144012000</v>
      </c>
      <c r="C132" t="s">
        <v>93</v>
      </c>
      <c r="D132" t="s">
        <v>0</v>
      </c>
      <c r="E132" t="s">
        <v>94</v>
      </c>
      <c r="F132" t="s">
        <v>108</v>
      </c>
      <c r="G132">
        <v>1</v>
      </c>
      <c r="H132">
        <v>5</v>
      </c>
      <c r="I132">
        <v>43000</v>
      </c>
      <c r="J132">
        <v>0</v>
      </c>
      <c r="K132" t="s">
        <v>507</v>
      </c>
      <c r="L132">
        <v>45</v>
      </c>
      <c r="M132">
        <v>13</v>
      </c>
      <c r="N132">
        <v>3307</v>
      </c>
      <c r="O132">
        <v>45.47</v>
      </c>
      <c r="P132">
        <v>13</v>
      </c>
      <c r="Q132">
        <v>3308</v>
      </c>
      <c r="R132" t="s">
        <v>145</v>
      </c>
      <c r="S132" s="40">
        <v>46076</v>
      </c>
      <c r="T132">
        <v>37.556268000000003</v>
      </c>
      <c r="U132">
        <v>126.91333</v>
      </c>
      <c r="V132" t="s">
        <v>511</v>
      </c>
      <c r="W132" t="s">
        <v>414</v>
      </c>
      <c r="X132">
        <v>1</v>
      </c>
      <c r="Y132">
        <v>0</v>
      </c>
      <c r="Z132">
        <v>0</v>
      </c>
      <c r="AA132" t="s">
        <v>328</v>
      </c>
      <c r="AB132" t="s">
        <v>512</v>
      </c>
      <c r="AC132">
        <v>43000</v>
      </c>
      <c r="AD132">
        <v>0</v>
      </c>
      <c r="AE132" t="s">
        <v>101</v>
      </c>
      <c r="AF132" t="s">
        <v>102</v>
      </c>
      <c r="AG132" t="s">
        <v>103</v>
      </c>
      <c r="AH132">
        <v>367.66631075244646</v>
      </c>
      <c r="AI132" t="s">
        <v>47</v>
      </c>
      <c r="AJ132" t="s">
        <v>104</v>
      </c>
      <c r="AK132">
        <v>869.52460361667931</v>
      </c>
      <c r="AL132" t="s">
        <v>105</v>
      </c>
      <c r="AM132" s="41" t="s">
        <v>510</v>
      </c>
    </row>
    <row r="133" spans="1:45">
      <c r="A133">
        <v>2609169828</v>
      </c>
      <c r="B133">
        <v>1144012100</v>
      </c>
      <c r="C133" t="s">
        <v>93</v>
      </c>
      <c r="D133" t="s">
        <v>0</v>
      </c>
      <c r="E133" t="s">
        <v>94</v>
      </c>
      <c r="F133" t="s">
        <v>95</v>
      </c>
      <c r="G133" t="s">
        <v>35</v>
      </c>
      <c r="H133">
        <v>18</v>
      </c>
      <c r="I133">
        <v>95000</v>
      </c>
      <c r="J133">
        <v>0</v>
      </c>
      <c r="K133" t="s">
        <v>518</v>
      </c>
      <c r="L133">
        <v>85</v>
      </c>
      <c r="M133">
        <v>25</v>
      </c>
      <c r="N133">
        <v>3800</v>
      </c>
      <c r="O133">
        <v>85</v>
      </c>
      <c r="P133">
        <v>25</v>
      </c>
      <c r="Q133">
        <v>3800</v>
      </c>
      <c r="R133" t="s">
        <v>121</v>
      </c>
      <c r="S133" s="40">
        <v>46072</v>
      </c>
      <c r="T133">
        <v>37.556083999999998</v>
      </c>
      <c r="U133">
        <v>126.923455</v>
      </c>
      <c r="V133" t="s">
        <v>520</v>
      </c>
      <c r="W133" t="s">
        <v>431</v>
      </c>
      <c r="X133">
        <v>1</v>
      </c>
      <c r="Y133">
        <v>0</v>
      </c>
      <c r="Z133">
        <v>0</v>
      </c>
      <c r="AA133" t="s">
        <v>113</v>
      </c>
      <c r="AB133" t="s">
        <v>432</v>
      </c>
      <c r="AC133">
        <v>95000</v>
      </c>
      <c r="AD133">
        <v>0</v>
      </c>
      <c r="AE133" t="s">
        <v>101</v>
      </c>
      <c r="AF133" t="s">
        <v>165</v>
      </c>
      <c r="AG133" t="s">
        <v>166</v>
      </c>
      <c r="AH133">
        <v>93.029525670005455</v>
      </c>
      <c r="AI133" t="s">
        <v>47</v>
      </c>
      <c r="AJ133" t="s">
        <v>104</v>
      </c>
      <c r="AK133">
        <v>837.53034349574909</v>
      </c>
      <c r="AL133" t="s">
        <v>105</v>
      </c>
      <c r="AM133" s="41" t="s">
        <v>426</v>
      </c>
      <c r="AN133">
        <f>IFERROR(VALUE(LEFT($W133,FIND("년",$W133)-1)),"")</f>
        <v>25</v>
      </c>
      <c r="AO133" t="str">
        <f>IFERROR(IF(FIND("년",$W133)=3,MID($W133,FIND("년",$W133)+1,FIND("년",$W133)-1),MID($W133,FIND("년",$W133)+1,FIND("년",$W133))),"")</f>
        <v>이상</v>
      </c>
      <c r="AP133">
        <f>IFERROR(IF($AN133&lt;11,10,IF(AND($AN133&lt;26,$AO133="이내"),25,26)),"")</f>
        <v>26</v>
      </c>
      <c r="AQ133">
        <f>IFERROR(IF($P133&lt;10,9,IF($P133&lt;20,10,IF($P133&lt;30,20,IF($P133&lt;40,30,40)))),"")</f>
        <v>20</v>
      </c>
      <c r="AR133" t="str">
        <f>IFERROR(IF($D133="상가",IF($G133="1","1층",IF($G133="전체층","전체층",IF(LEFT($G133,1)="B","B1",IF($G133&lt;6,"저",IF($G133/$H133&lt;=$BC$9,"저",IF($G133/$H133&lt;=$BC$10,"중","고")))))),IF(LEFT($G133,1)="B","B1",IF($H133&lt;6,"저",IF($G133/$H133&lt;=$BC$2,"저",IF($G133/$H133&lt;=$BC$3,"중","고"))))),"")</f>
        <v>B1</v>
      </c>
      <c r="AS133">
        <f>IFERROR(ACOS(SIN(RADIANS(거래사례!$S$11))*SIN(RADIANS($T133))+COS(RADIANS(거래사례!$S$11))*COS(RADIANS($T133))*COS(RADIANS($U133-거래사례!$P$11)))*6371000,"")</f>
        <v>651.4235742815664</v>
      </c>
    </row>
    <row r="134" spans="1:45" hidden="1">
      <c r="A134">
        <v>2611331018</v>
      </c>
      <c r="B134">
        <v>1144012000</v>
      </c>
      <c r="C134" t="s">
        <v>134</v>
      </c>
      <c r="D134" t="s">
        <v>0</v>
      </c>
      <c r="E134" t="s">
        <v>94</v>
      </c>
      <c r="F134" t="s">
        <v>108</v>
      </c>
      <c r="G134">
        <v>1</v>
      </c>
      <c r="H134">
        <v>2</v>
      </c>
      <c r="I134">
        <v>45000</v>
      </c>
      <c r="J134">
        <v>0</v>
      </c>
      <c r="K134" t="s">
        <v>203</v>
      </c>
      <c r="L134">
        <v>97</v>
      </c>
      <c r="M134">
        <v>29</v>
      </c>
      <c r="N134">
        <v>1551</v>
      </c>
      <c r="O134">
        <v>44.08</v>
      </c>
      <c r="P134">
        <v>13</v>
      </c>
      <c r="Q134">
        <v>3462</v>
      </c>
      <c r="R134" t="s">
        <v>136</v>
      </c>
      <c r="S134" s="40">
        <v>46081</v>
      </c>
      <c r="T134">
        <v>37.550941000000002</v>
      </c>
      <c r="U134">
        <v>126.913787</v>
      </c>
      <c r="V134" t="s">
        <v>204</v>
      </c>
      <c r="W134" t="s">
        <v>205</v>
      </c>
      <c r="X134">
        <v>1</v>
      </c>
      <c r="Y134">
        <v>0</v>
      </c>
      <c r="Z134">
        <v>0</v>
      </c>
      <c r="AA134" t="s">
        <v>139</v>
      </c>
      <c r="AB134" t="s">
        <v>206</v>
      </c>
      <c r="AC134">
        <v>45000</v>
      </c>
      <c r="AD134">
        <v>0</v>
      </c>
      <c r="AE134" t="s">
        <v>101</v>
      </c>
      <c r="AF134" t="s">
        <v>115</v>
      </c>
      <c r="AG134" t="s">
        <v>116</v>
      </c>
      <c r="AH134">
        <v>132.01770664783839</v>
      </c>
      <c r="AI134" t="s">
        <v>47</v>
      </c>
      <c r="AJ134" t="s">
        <v>104</v>
      </c>
      <c r="AK134">
        <v>528.48255152744889</v>
      </c>
      <c r="AL134">
        <v>1</v>
      </c>
      <c r="AM134" s="41" t="s">
        <v>178</v>
      </c>
    </row>
    <row r="135" spans="1:45" hidden="1">
      <c r="A135">
        <v>2611887949</v>
      </c>
      <c r="B135">
        <v>1141011600</v>
      </c>
      <c r="C135" t="s">
        <v>134</v>
      </c>
      <c r="D135" t="s">
        <v>0</v>
      </c>
      <c r="E135" t="s">
        <v>94</v>
      </c>
      <c r="F135" t="s">
        <v>95</v>
      </c>
      <c r="G135" t="s">
        <v>3</v>
      </c>
      <c r="H135">
        <v>15</v>
      </c>
      <c r="I135">
        <v>39000</v>
      </c>
      <c r="J135">
        <v>0</v>
      </c>
      <c r="K135" t="s">
        <v>513</v>
      </c>
      <c r="L135">
        <v>66</v>
      </c>
      <c r="M135">
        <v>19</v>
      </c>
      <c r="N135">
        <v>2052</v>
      </c>
      <c r="O135">
        <v>38.93</v>
      </c>
      <c r="P135">
        <v>11</v>
      </c>
      <c r="Q135">
        <v>3545</v>
      </c>
      <c r="R135" t="s">
        <v>96</v>
      </c>
      <c r="S135" s="40">
        <v>46085</v>
      </c>
      <c r="T135">
        <v>37.556063999999999</v>
      </c>
      <c r="U135">
        <v>126.93825</v>
      </c>
      <c r="V135" t="s">
        <v>514</v>
      </c>
      <c r="W135" t="s">
        <v>515</v>
      </c>
      <c r="X135">
        <v>1</v>
      </c>
      <c r="Y135">
        <v>0</v>
      </c>
      <c r="Z135">
        <v>0</v>
      </c>
      <c r="AA135" t="s">
        <v>99</v>
      </c>
      <c r="AB135" t="s">
        <v>451</v>
      </c>
      <c r="AC135">
        <v>39000</v>
      </c>
      <c r="AD135">
        <v>0</v>
      </c>
      <c r="AE135" t="s">
        <v>101</v>
      </c>
      <c r="AF135" t="s">
        <v>436</v>
      </c>
      <c r="AG135" t="s">
        <v>437</v>
      </c>
      <c r="AH135">
        <v>172.70504045212317</v>
      </c>
      <c r="AI135" t="s">
        <v>48</v>
      </c>
      <c r="AJ135" t="s">
        <v>104</v>
      </c>
      <c r="AK135">
        <v>639.01446691631702</v>
      </c>
      <c r="AL135" t="s">
        <v>105</v>
      </c>
      <c r="AM135" s="41" t="s">
        <v>438</v>
      </c>
    </row>
    <row r="136" spans="1:45">
      <c r="A136">
        <v>2609189232</v>
      </c>
      <c r="B136">
        <v>1144012100</v>
      </c>
      <c r="C136" t="s">
        <v>134</v>
      </c>
      <c r="D136" t="s">
        <v>0</v>
      </c>
      <c r="E136" t="s">
        <v>94</v>
      </c>
      <c r="F136" t="s">
        <v>95</v>
      </c>
      <c r="G136" t="s">
        <v>35</v>
      </c>
      <c r="H136">
        <v>18</v>
      </c>
      <c r="I136">
        <v>85000</v>
      </c>
      <c r="J136">
        <v>0</v>
      </c>
      <c r="K136" t="s">
        <v>304</v>
      </c>
      <c r="L136">
        <v>167</v>
      </c>
      <c r="M136">
        <v>50</v>
      </c>
      <c r="N136">
        <v>1700</v>
      </c>
      <c r="O136">
        <v>73.709999999999994</v>
      </c>
      <c r="P136">
        <v>22</v>
      </c>
      <c r="Q136">
        <v>3864</v>
      </c>
      <c r="R136" t="s">
        <v>161</v>
      </c>
      <c r="S136" s="40">
        <v>46072</v>
      </c>
      <c r="T136">
        <v>37.556083999999998</v>
      </c>
      <c r="U136">
        <v>126.923455</v>
      </c>
      <c r="V136" t="s">
        <v>521</v>
      </c>
      <c r="W136" t="s">
        <v>431</v>
      </c>
      <c r="X136">
        <v>1</v>
      </c>
      <c r="Y136">
        <v>0</v>
      </c>
      <c r="Z136">
        <v>0</v>
      </c>
      <c r="AA136" t="s">
        <v>113</v>
      </c>
      <c r="AB136" t="s">
        <v>432</v>
      </c>
      <c r="AC136">
        <v>85000</v>
      </c>
      <c r="AD136">
        <v>0</v>
      </c>
      <c r="AE136" t="s">
        <v>101</v>
      </c>
      <c r="AF136" t="s">
        <v>165</v>
      </c>
      <c r="AG136" t="s">
        <v>166</v>
      </c>
      <c r="AH136">
        <v>93.029525670005455</v>
      </c>
      <c r="AI136" t="s">
        <v>47</v>
      </c>
      <c r="AJ136" t="s">
        <v>104</v>
      </c>
      <c r="AK136">
        <v>837.53034349574909</v>
      </c>
      <c r="AL136" t="s">
        <v>105</v>
      </c>
      <c r="AM136" s="41" t="s">
        <v>426</v>
      </c>
      <c r="AN136">
        <f t="shared" ref="AN136:AN140" si="60">IFERROR(VALUE(LEFT($W136,FIND("년",$W136)-1)),"")</f>
        <v>25</v>
      </c>
      <c r="AO136" t="str">
        <f t="shared" ref="AO136:AO140" si="61">IFERROR(IF(FIND("년",$W136)=3,MID($W136,FIND("년",$W136)+1,FIND("년",$W136)-1),MID($W136,FIND("년",$W136)+1,FIND("년",$W136))),"")</f>
        <v>이상</v>
      </c>
      <c r="AP136">
        <f t="shared" ref="AP136:AP140" si="62">IFERROR(IF($AN136&lt;11,10,IF(AND($AN136&lt;26,$AO136="이내"),25,26)),"")</f>
        <v>26</v>
      </c>
      <c r="AQ136">
        <f t="shared" ref="AQ136:AQ140" si="63">IFERROR(IF($P136&lt;10,9,IF($P136&lt;20,10,IF($P136&lt;30,20,IF($P136&lt;40,30,40)))),"")</f>
        <v>20</v>
      </c>
      <c r="AR136" t="str">
        <f t="shared" ref="AR136:AR140" si="64">IFERROR(IF($D136="상가",IF($G136="1","1층",IF($G136="전체층","전체층",IF(LEFT($G136,1)="B","B1",IF($G136&lt;6,"저",IF($G136/$H136&lt;=$BC$9,"저",IF($G136/$H136&lt;=$BC$10,"중","고")))))),IF(LEFT($G136,1)="B","B1",IF($H136&lt;6,"저",IF($G136/$H136&lt;=$BC$2,"저",IF($G136/$H136&lt;=$BC$3,"중","고"))))),"")</f>
        <v>B1</v>
      </c>
      <c r="AS136">
        <f>IFERROR(ACOS(SIN(RADIANS(거래사례!$S$11))*SIN(RADIANS($T136))+COS(RADIANS(거래사례!$S$11))*COS(RADIANS($T136))*COS(RADIANS($U136-거래사례!$P$11)))*6371000,"")</f>
        <v>651.4235742815664</v>
      </c>
    </row>
    <row r="137" spans="1:45">
      <c r="A137">
        <v>2609189232</v>
      </c>
      <c r="B137">
        <v>1144012100</v>
      </c>
      <c r="C137" t="s">
        <v>134</v>
      </c>
      <c r="D137" t="s">
        <v>0</v>
      </c>
      <c r="E137" t="s">
        <v>94</v>
      </c>
      <c r="F137" t="s">
        <v>95</v>
      </c>
      <c r="G137" t="s">
        <v>35</v>
      </c>
      <c r="H137">
        <v>18</v>
      </c>
      <c r="I137">
        <v>85000</v>
      </c>
      <c r="J137">
        <v>0</v>
      </c>
      <c r="K137" t="s">
        <v>304</v>
      </c>
      <c r="L137">
        <v>167</v>
      </c>
      <c r="M137">
        <v>50</v>
      </c>
      <c r="N137">
        <v>1700</v>
      </c>
      <c r="O137">
        <v>73.709999999999994</v>
      </c>
      <c r="P137">
        <v>22</v>
      </c>
      <c r="Q137">
        <v>3864</v>
      </c>
      <c r="R137" t="s">
        <v>161</v>
      </c>
      <c r="S137" s="40">
        <v>46072</v>
      </c>
      <c r="T137">
        <v>37.556083999999998</v>
      </c>
      <c r="U137">
        <v>126.923455</v>
      </c>
      <c r="V137" t="s">
        <v>521</v>
      </c>
      <c r="W137" t="s">
        <v>431</v>
      </c>
      <c r="X137">
        <v>1</v>
      </c>
      <c r="Y137">
        <v>0</v>
      </c>
      <c r="Z137">
        <v>0</v>
      </c>
      <c r="AA137" t="s">
        <v>113</v>
      </c>
      <c r="AB137" t="s">
        <v>432</v>
      </c>
      <c r="AC137">
        <v>85000</v>
      </c>
      <c r="AD137">
        <v>0</v>
      </c>
      <c r="AE137" t="s">
        <v>101</v>
      </c>
      <c r="AF137" t="s">
        <v>165</v>
      </c>
      <c r="AG137" t="s">
        <v>166</v>
      </c>
      <c r="AH137">
        <v>93.029525670005455</v>
      </c>
      <c r="AI137" t="s">
        <v>47</v>
      </c>
      <c r="AJ137" t="s">
        <v>104</v>
      </c>
      <c r="AK137">
        <v>837.53034349574909</v>
      </c>
      <c r="AL137" t="s">
        <v>105</v>
      </c>
      <c r="AM137" s="41" t="s">
        <v>426</v>
      </c>
      <c r="AN137">
        <f t="shared" si="60"/>
        <v>25</v>
      </c>
      <c r="AO137" t="str">
        <f t="shared" si="61"/>
        <v>이상</v>
      </c>
      <c r="AP137">
        <f t="shared" si="62"/>
        <v>26</v>
      </c>
      <c r="AQ137">
        <f t="shared" si="63"/>
        <v>20</v>
      </c>
      <c r="AR137" t="str">
        <f t="shared" si="64"/>
        <v>B1</v>
      </c>
      <c r="AS137">
        <f>IFERROR(ACOS(SIN(RADIANS(거래사례!$S$11))*SIN(RADIANS($T137))+COS(RADIANS(거래사례!$S$11))*COS(RADIANS($T137))*COS(RADIANS($U137-거래사례!$P$11)))*6371000,"")</f>
        <v>651.4235742815664</v>
      </c>
    </row>
    <row r="138" spans="1:45">
      <c r="A138">
        <v>2609189232</v>
      </c>
      <c r="B138">
        <v>1144012100</v>
      </c>
      <c r="C138" t="s">
        <v>134</v>
      </c>
      <c r="D138" t="s">
        <v>0</v>
      </c>
      <c r="E138" t="s">
        <v>94</v>
      </c>
      <c r="F138" t="s">
        <v>95</v>
      </c>
      <c r="G138" t="s">
        <v>35</v>
      </c>
      <c r="H138">
        <v>18</v>
      </c>
      <c r="I138">
        <v>85000</v>
      </c>
      <c r="J138">
        <v>0</v>
      </c>
      <c r="K138" t="s">
        <v>304</v>
      </c>
      <c r="L138">
        <v>167</v>
      </c>
      <c r="M138">
        <v>50</v>
      </c>
      <c r="N138">
        <v>1700</v>
      </c>
      <c r="O138">
        <v>73.709999999999994</v>
      </c>
      <c r="P138">
        <v>22</v>
      </c>
      <c r="Q138">
        <v>3864</v>
      </c>
      <c r="R138" t="s">
        <v>161</v>
      </c>
      <c r="S138" s="40">
        <v>46072</v>
      </c>
      <c r="T138">
        <v>37.556083999999998</v>
      </c>
      <c r="U138">
        <v>126.923455</v>
      </c>
      <c r="V138" t="s">
        <v>521</v>
      </c>
      <c r="W138" t="s">
        <v>431</v>
      </c>
      <c r="X138">
        <v>1</v>
      </c>
      <c r="Y138">
        <v>0</v>
      </c>
      <c r="Z138">
        <v>0</v>
      </c>
      <c r="AA138" t="s">
        <v>113</v>
      </c>
      <c r="AB138" t="s">
        <v>432</v>
      </c>
      <c r="AC138">
        <v>85000</v>
      </c>
      <c r="AD138">
        <v>0</v>
      </c>
      <c r="AE138" t="s">
        <v>101</v>
      </c>
      <c r="AF138" t="s">
        <v>165</v>
      </c>
      <c r="AG138" t="s">
        <v>166</v>
      </c>
      <c r="AH138">
        <v>93.029525670005455</v>
      </c>
      <c r="AI138" t="s">
        <v>47</v>
      </c>
      <c r="AJ138" t="s">
        <v>104</v>
      </c>
      <c r="AK138">
        <v>837.53034349574909</v>
      </c>
      <c r="AL138" t="s">
        <v>105</v>
      </c>
      <c r="AM138" s="41" t="s">
        <v>426</v>
      </c>
      <c r="AN138">
        <f t="shared" si="60"/>
        <v>25</v>
      </c>
      <c r="AO138" t="str">
        <f t="shared" si="61"/>
        <v>이상</v>
      </c>
      <c r="AP138">
        <f t="shared" si="62"/>
        <v>26</v>
      </c>
      <c r="AQ138">
        <f t="shared" si="63"/>
        <v>20</v>
      </c>
      <c r="AR138" t="str">
        <f t="shared" si="64"/>
        <v>B1</v>
      </c>
      <c r="AS138">
        <f>IFERROR(ACOS(SIN(RADIANS(거래사례!$S$11))*SIN(RADIANS($T138))+COS(RADIANS(거래사례!$S$11))*COS(RADIANS($T138))*COS(RADIANS($U138-거래사례!$P$11)))*6371000,"")</f>
        <v>651.4235742815664</v>
      </c>
    </row>
    <row r="139" spans="1:45">
      <c r="A139">
        <v>2611811413</v>
      </c>
      <c r="B139">
        <v>1144012400</v>
      </c>
      <c r="C139" t="s">
        <v>93</v>
      </c>
      <c r="D139" t="s">
        <v>0</v>
      </c>
      <c r="E139" t="s">
        <v>94</v>
      </c>
      <c r="F139" t="s">
        <v>135</v>
      </c>
      <c r="G139">
        <v>1</v>
      </c>
      <c r="H139">
        <v>3</v>
      </c>
      <c r="I139">
        <v>193000</v>
      </c>
      <c r="J139">
        <v>0</v>
      </c>
      <c r="K139" t="s">
        <v>668</v>
      </c>
      <c r="L139">
        <v>163</v>
      </c>
      <c r="M139">
        <v>49</v>
      </c>
      <c r="N139">
        <v>3938</v>
      </c>
      <c r="O139">
        <v>162</v>
      </c>
      <c r="P139">
        <v>49</v>
      </c>
      <c r="Q139">
        <v>3939</v>
      </c>
      <c r="R139" t="s">
        <v>161</v>
      </c>
      <c r="S139" s="40">
        <v>46084</v>
      </c>
      <c r="T139">
        <v>37.564912999999997</v>
      </c>
      <c r="U139">
        <v>126.922922</v>
      </c>
      <c r="V139" t="s">
        <v>669</v>
      </c>
      <c r="W139" t="s">
        <v>670</v>
      </c>
      <c r="X139">
        <v>3</v>
      </c>
      <c r="Y139" t="s">
        <v>668</v>
      </c>
      <c r="Z139" t="s">
        <v>668</v>
      </c>
      <c r="AA139" t="s">
        <v>222</v>
      </c>
      <c r="AB139" t="s">
        <v>255</v>
      </c>
      <c r="AC139">
        <v>193000</v>
      </c>
      <c r="AD139">
        <v>0</v>
      </c>
      <c r="AE139" t="s">
        <v>101</v>
      </c>
      <c r="AF139" t="s">
        <v>165</v>
      </c>
      <c r="AG139" t="s">
        <v>166</v>
      </c>
      <c r="AH139">
        <v>650.04566626792666</v>
      </c>
      <c r="AI139" t="s">
        <v>47</v>
      </c>
      <c r="AJ139" t="s">
        <v>104</v>
      </c>
      <c r="AK139">
        <v>1010.8721167832297</v>
      </c>
      <c r="AL139" t="s">
        <v>105</v>
      </c>
      <c r="AM139" s="41" t="s">
        <v>671</v>
      </c>
      <c r="AN139">
        <f t="shared" si="60"/>
        <v>25</v>
      </c>
      <c r="AO139" t="str">
        <f t="shared" si="61"/>
        <v>이상</v>
      </c>
      <c r="AP139">
        <f t="shared" si="62"/>
        <v>26</v>
      </c>
      <c r="AQ139">
        <f t="shared" si="63"/>
        <v>40</v>
      </c>
      <c r="AR139" t="str">
        <f t="shared" si="64"/>
        <v>저</v>
      </c>
      <c r="AS139">
        <f>IFERROR(ACOS(SIN(RADIANS(거래사례!$S$11))*SIN(RADIANS($T139))+COS(RADIANS(거래사례!$S$11))*COS(RADIANS($T139))*COS(RADIANS($U139-거래사례!$P$11)))*6371000,"")</f>
        <v>791.28019060039105</v>
      </c>
    </row>
    <row r="140" spans="1:45">
      <c r="A140">
        <v>2611811661</v>
      </c>
      <c r="B140">
        <v>1141011600</v>
      </c>
      <c r="C140" t="s">
        <v>93</v>
      </c>
      <c r="D140" t="s">
        <v>0</v>
      </c>
      <c r="E140" t="s">
        <v>94</v>
      </c>
      <c r="F140" t="s">
        <v>95</v>
      </c>
      <c r="G140" t="s">
        <v>3</v>
      </c>
      <c r="H140">
        <v>3</v>
      </c>
      <c r="I140">
        <v>220000</v>
      </c>
      <c r="J140">
        <v>0</v>
      </c>
      <c r="K140" t="s">
        <v>406</v>
      </c>
      <c r="L140">
        <v>184</v>
      </c>
      <c r="M140">
        <v>55</v>
      </c>
      <c r="N140">
        <v>4000</v>
      </c>
      <c r="O140">
        <v>184.56</v>
      </c>
      <c r="P140">
        <v>55</v>
      </c>
      <c r="Q140">
        <v>4000</v>
      </c>
      <c r="R140" t="s">
        <v>121</v>
      </c>
      <c r="S140" s="40">
        <v>46085</v>
      </c>
      <c r="T140">
        <v>37.558543999999998</v>
      </c>
      <c r="U140">
        <v>126.939328</v>
      </c>
      <c r="V140" t="s">
        <v>529</v>
      </c>
      <c r="W140" t="s">
        <v>530</v>
      </c>
      <c r="X140">
        <v>1</v>
      </c>
      <c r="Y140">
        <v>0</v>
      </c>
      <c r="Z140">
        <v>0</v>
      </c>
      <c r="AA140" t="s">
        <v>99</v>
      </c>
      <c r="AB140" t="s">
        <v>531</v>
      </c>
      <c r="AC140">
        <v>220000</v>
      </c>
      <c r="AD140">
        <v>0</v>
      </c>
      <c r="AE140" t="s">
        <v>101</v>
      </c>
      <c r="AF140" t="s">
        <v>436</v>
      </c>
      <c r="AG140" t="s">
        <v>437</v>
      </c>
      <c r="AH140">
        <v>320.18195705134571</v>
      </c>
      <c r="AI140" t="s">
        <v>48</v>
      </c>
      <c r="AJ140" t="s">
        <v>104</v>
      </c>
      <c r="AK140">
        <v>501.96131193871668</v>
      </c>
      <c r="AL140">
        <v>1</v>
      </c>
      <c r="AM140" s="41" t="s">
        <v>532</v>
      </c>
      <c r="AN140">
        <f t="shared" si="60"/>
        <v>25</v>
      </c>
      <c r="AO140" t="str">
        <f t="shared" si="61"/>
        <v>이상</v>
      </c>
      <c r="AP140">
        <f t="shared" si="62"/>
        <v>26</v>
      </c>
      <c r="AQ140">
        <f t="shared" si="63"/>
        <v>40</v>
      </c>
      <c r="AR140" t="str">
        <f t="shared" si="64"/>
        <v>전체층</v>
      </c>
      <c r="AS140">
        <f>IFERROR(ACOS(SIN(RADIANS(거래사례!$S$11))*SIN(RADIANS($T140))+COS(RADIANS(거래사례!$S$11))*COS(RADIANS($T140))*COS(RADIANS($U140-거래사례!$P$11)))*6371000,"")</f>
        <v>906.48976174658128</v>
      </c>
    </row>
    <row r="141" spans="1:45" hidden="1">
      <c r="A141">
        <v>2609188309</v>
      </c>
      <c r="B141">
        <v>1144011100</v>
      </c>
      <c r="C141" t="s">
        <v>134</v>
      </c>
      <c r="D141" t="s">
        <v>0</v>
      </c>
      <c r="E141" t="s">
        <v>94</v>
      </c>
      <c r="F141" t="s">
        <v>135</v>
      </c>
      <c r="G141">
        <v>1</v>
      </c>
      <c r="H141">
        <v>1</v>
      </c>
      <c r="I141">
        <v>43000</v>
      </c>
      <c r="J141">
        <v>0</v>
      </c>
      <c r="K141" t="s">
        <v>507</v>
      </c>
      <c r="L141">
        <v>75</v>
      </c>
      <c r="M141">
        <v>22</v>
      </c>
      <c r="N141">
        <v>1954</v>
      </c>
      <c r="O141">
        <v>38.479999999999997</v>
      </c>
      <c r="P141">
        <v>11</v>
      </c>
      <c r="Q141">
        <v>3909</v>
      </c>
      <c r="R141" t="s">
        <v>136</v>
      </c>
      <c r="S141" s="40">
        <v>46072</v>
      </c>
      <c r="T141">
        <v>37.551091999999997</v>
      </c>
      <c r="U141">
        <v>126.934428</v>
      </c>
      <c r="V141" t="s">
        <v>522</v>
      </c>
      <c r="W141" t="s">
        <v>414</v>
      </c>
      <c r="X141">
        <v>1</v>
      </c>
      <c r="Y141">
        <v>0</v>
      </c>
      <c r="Z141">
        <v>0</v>
      </c>
      <c r="AA141" t="s">
        <v>113</v>
      </c>
      <c r="AB141" t="s">
        <v>523</v>
      </c>
      <c r="AC141">
        <v>43000</v>
      </c>
      <c r="AD141">
        <v>0</v>
      </c>
      <c r="AE141" t="s">
        <v>101</v>
      </c>
      <c r="AF141" t="s">
        <v>475</v>
      </c>
      <c r="AG141" t="s">
        <v>476</v>
      </c>
      <c r="AH141">
        <v>163.81954637736581</v>
      </c>
      <c r="AI141" t="s">
        <v>47</v>
      </c>
      <c r="AJ141" t="s">
        <v>104</v>
      </c>
      <c r="AK141">
        <v>1271.8041472437619</v>
      </c>
      <c r="AL141" t="s">
        <v>105</v>
      </c>
      <c r="AM141" s="41" t="s">
        <v>524</v>
      </c>
    </row>
    <row r="142" spans="1:45" hidden="1">
      <c r="A142">
        <v>2607121681</v>
      </c>
      <c r="B142">
        <v>1144011100</v>
      </c>
      <c r="C142" t="s">
        <v>134</v>
      </c>
      <c r="D142" t="s">
        <v>0</v>
      </c>
      <c r="E142" t="s">
        <v>94</v>
      </c>
      <c r="F142" t="s">
        <v>119</v>
      </c>
      <c r="G142">
        <v>1</v>
      </c>
      <c r="H142">
        <v>1</v>
      </c>
      <c r="I142">
        <v>43000</v>
      </c>
      <c r="J142">
        <v>0</v>
      </c>
      <c r="K142" t="s">
        <v>507</v>
      </c>
      <c r="L142">
        <v>38</v>
      </c>
      <c r="M142">
        <v>11</v>
      </c>
      <c r="N142">
        <v>3909</v>
      </c>
      <c r="O142">
        <v>38.43</v>
      </c>
      <c r="P142">
        <v>11</v>
      </c>
      <c r="Q142">
        <v>3909</v>
      </c>
      <c r="R142" t="s">
        <v>154</v>
      </c>
      <c r="S142" s="40">
        <v>46058</v>
      </c>
      <c r="T142">
        <v>37.551091999999997</v>
      </c>
      <c r="U142">
        <v>126.934428</v>
      </c>
      <c r="V142" t="s">
        <v>525</v>
      </c>
      <c r="W142" t="s">
        <v>526</v>
      </c>
      <c r="X142">
        <v>3</v>
      </c>
      <c r="Y142" t="s">
        <v>304</v>
      </c>
      <c r="Z142" t="s">
        <v>507</v>
      </c>
      <c r="AA142" t="s">
        <v>124</v>
      </c>
      <c r="AB142" t="s">
        <v>527</v>
      </c>
      <c r="AC142">
        <v>43000</v>
      </c>
      <c r="AD142">
        <v>0</v>
      </c>
      <c r="AE142" t="s">
        <v>101</v>
      </c>
      <c r="AF142" t="s">
        <v>475</v>
      </c>
      <c r="AG142" t="s">
        <v>476</v>
      </c>
      <c r="AH142">
        <v>163.81954637736581</v>
      </c>
      <c r="AI142" t="s">
        <v>47</v>
      </c>
      <c r="AJ142" t="s">
        <v>104</v>
      </c>
      <c r="AK142">
        <v>1271.8041472437619</v>
      </c>
      <c r="AL142" t="s">
        <v>105</v>
      </c>
      <c r="AM142" s="41" t="s">
        <v>524</v>
      </c>
    </row>
    <row r="143" spans="1:45" hidden="1">
      <c r="A143">
        <v>2606994862</v>
      </c>
      <c r="B143">
        <v>1144011400</v>
      </c>
      <c r="C143" t="s">
        <v>134</v>
      </c>
      <c r="D143" t="s">
        <v>0</v>
      </c>
      <c r="E143" t="s">
        <v>94</v>
      </c>
      <c r="F143" t="s">
        <v>135</v>
      </c>
      <c r="G143">
        <v>2</v>
      </c>
      <c r="H143">
        <v>2</v>
      </c>
      <c r="I143">
        <v>55000</v>
      </c>
      <c r="J143">
        <v>0</v>
      </c>
      <c r="K143" t="s">
        <v>528</v>
      </c>
      <c r="L143">
        <v>63</v>
      </c>
      <c r="M143">
        <v>19</v>
      </c>
      <c r="N143">
        <v>2894</v>
      </c>
      <c r="O143">
        <v>49</v>
      </c>
      <c r="P143">
        <v>14</v>
      </c>
      <c r="Q143">
        <v>3929</v>
      </c>
      <c r="R143" t="s">
        <v>145</v>
      </c>
      <c r="S143" s="40">
        <v>46058</v>
      </c>
      <c r="T143">
        <v>37.548369000000001</v>
      </c>
      <c r="U143">
        <v>126.92944799999999</v>
      </c>
      <c r="V143" t="s">
        <v>478</v>
      </c>
      <c r="W143" t="s">
        <v>479</v>
      </c>
      <c r="X143">
        <v>1</v>
      </c>
      <c r="Y143">
        <v>0</v>
      </c>
      <c r="Z143">
        <v>0</v>
      </c>
      <c r="AA143" t="s">
        <v>176</v>
      </c>
      <c r="AB143" t="s">
        <v>480</v>
      </c>
      <c r="AC143">
        <v>55000</v>
      </c>
      <c r="AD143">
        <v>0</v>
      </c>
      <c r="AE143" t="s">
        <v>101</v>
      </c>
      <c r="AF143" t="s">
        <v>481</v>
      </c>
      <c r="AG143" t="s">
        <v>103</v>
      </c>
      <c r="AH143">
        <v>353.10489569662644</v>
      </c>
      <c r="AI143" t="s">
        <v>47</v>
      </c>
      <c r="AJ143" t="s">
        <v>104</v>
      </c>
      <c r="AK143">
        <v>1239.2769741190828</v>
      </c>
      <c r="AL143" t="s">
        <v>105</v>
      </c>
      <c r="AM143" s="41" t="s">
        <v>482</v>
      </c>
    </row>
    <row r="144" spans="1:45">
      <c r="A144">
        <v>2611811661</v>
      </c>
      <c r="B144">
        <v>1141011600</v>
      </c>
      <c r="C144" t="s">
        <v>93</v>
      </c>
      <c r="D144" t="s">
        <v>0</v>
      </c>
      <c r="E144" t="s">
        <v>94</v>
      </c>
      <c r="F144" t="s">
        <v>95</v>
      </c>
      <c r="G144" t="s">
        <v>3</v>
      </c>
      <c r="H144">
        <v>3</v>
      </c>
      <c r="I144">
        <v>220000</v>
      </c>
      <c r="J144">
        <v>0</v>
      </c>
      <c r="K144" t="s">
        <v>406</v>
      </c>
      <c r="L144">
        <v>184</v>
      </c>
      <c r="M144">
        <v>55</v>
      </c>
      <c r="N144">
        <v>4000</v>
      </c>
      <c r="O144">
        <v>184.56</v>
      </c>
      <c r="P144">
        <v>55</v>
      </c>
      <c r="Q144">
        <v>4000</v>
      </c>
      <c r="R144" t="s">
        <v>121</v>
      </c>
      <c r="S144" s="40">
        <v>46085</v>
      </c>
      <c r="T144">
        <v>37.558543999999998</v>
      </c>
      <c r="U144">
        <v>126.939328</v>
      </c>
      <c r="V144" t="s">
        <v>529</v>
      </c>
      <c r="W144" t="s">
        <v>530</v>
      </c>
      <c r="X144">
        <v>1</v>
      </c>
      <c r="Y144">
        <v>0</v>
      </c>
      <c r="Z144">
        <v>0</v>
      </c>
      <c r="AA144" t="s">
        <v>99</v>
      </c>
      <c r="AB144" t="s">
        <v>531</v>
      </c>
      <c r="AC144">
        <v>220000</v>
      </c>
      <c r="AD144">
        <v>0</v>
      </c>
      <c r="AE144" t="s">
        <v>101</v>
      </c>
      <c r="AF144" t="s">
        <v>436</v>
      </c>
      <c r="AG144" t="s">
        <v>437</v>
      </c>
      <c r="AH144">
        <v>320.18195705134571</v>
      </c>
      <c r="AI144" t="s">
        <v>48</v>
      </c>
      <c r="AJ144" t="s">
        <v>104</v>
      </c>
      <c r="AK144">
        <v>501.96131193871668</v>
      </c>
      <c r="AL144">
        <v>1</v>
      </c>
      <c r="AM144" s="41" t="s">
        <v>532</v>
      </c>
      <c r="AN144">
        <f t="shared" ref="AN144:AN145" si="65">IFERROR(VALUE(LEFT($W144,FIND("년",$W144)-1)),"")</f>
        <v>25</v>
      </c>
      <c r="AO144" t="str">
        <f t="shared" ref="AO144:AO145" si="66">IFERROR(IF(FIND("년",$W144)=3,MID($W144,FIND("년",$W144)+1,FIND("년",$W144)-1),MID($W144,FIND("년",$W144)+1,FIND("년",$W144))),"")</f>
        <v>이상</v>
      </c>
      <c r="AP144">
        <f t="shared" ref="AP144:AP145" si="67">IFERROR(IF($AN144&lt;11,10,IF(AND($AN144&lt;26,$AO144="이내"),25,26)),"")</f>
        <v>26</v>
      </c>
      <c r="AQ144">
        <f t="shared" ref="AQ144:AQ145" si="68">IFERROR(IF($P144&lt;10,9,IF($P144&lt;20,10,IF($P144&lt;30,20,IF($P144&lt;40,30,40)))),"")</f>
        <v>40</v>
      </c>
      <c r="AR144" t="str">
        <f t="shared" ref="AR144:AR145" si="69">IFERROR(IF($D144="상가",IF($G144="1","1층",IF($G144="전체층","전체층",IF(LEFT($G144,1)="B","B1",IF($G144&lt;6,"저",IF($G144/$H144&lt;=$BC$9,"저",IF($G144/$H144&lt;=$BC$10,"중","고")))))),IF(LEFT($G144,1)="B","B1",IF($H144&lt;6,"저",IF($G144/$H144&lt;=$BC$2,"저",IF($G144/$H144&lt;=$BC$3,"중","고"))))),"")</f>
        <v>전체층</v>
      </c>
      <c r="AS144">
        <f>IFERROR(ACOS(SIN(RADIANS(거래사례!$S$11))*SIN(RADIANS($T144))+COS(RADIANS(거래사례!$S$11))*COS(RADIANS($T144))*COS(RADIANS($U144-거래사례!$P$11)))*6371000,"")</f>
        <v>906.48976174658128</v>
      </c>
    </row>
    <row r="145" spans="1:45">
      <c r="A145">
        <v>2611266121</v>
      </c>
      <c r="B145">
        <v>1144012200</v>
      </c>
      <c r="C145" t="s">
        <v>93</v>
      </c>
      <c r="D145" t="s">
        <v>0</v>
      </c>
      <c r="E145" t="s">
        <v>94</v>
      </c>
      <c r="F145" t="s">
        <v>108</v>
      </c>
      <c r="G145">
        <v>1</v>
      </c>
      <c r="H145">
        <v>3</v>
      </c>
      <c r="I145">
        <v>210000</v>
      </c>
      <c r="J145">
        <v>0</v>
      </c>
      <c r="K145" t="s">
        <v>219</v>
      </c>
      <c r="L145">
        <v>164</v>
      </c>
      <c r="M145">
        <v>49</v>
      </c>
      <c r="N145">
        <v>4285</v>
      </c>
      <c r="O145">
        <v>164</v>
      </c>
      <c r="P145">
        <v>49</v>
      </c>
      <c r="Q145">
        <v>4286</v>
      </c>
      <c r="R145" t="s">
        <v>136</v>
      </c>
      <c r="S145" s="40">
        <v>46081</v>
      </c>
      <c r="T145">
        <v>37.552936000000003</v>
      </c>
      <c r="U145">
        <v>126.90994000000001</v>
      </c>
      <c r="V145" t="s">
        <v>220</v>
      </c>
      <c r="W145" t="s">
        <v>221</v>
      </c>
      <c r="X145">
        <v>1</v>
      </c>
      <c r="Y145">
        <v>0</v>
      </c>
      <c r="Z145">
        <v>0</v>
      </c>
      <c r="AA145" t="s">
        <v>222</v>
      </c>
      <c r="AB145" t="s">
        <v>223</v>
      </c>
      <c r="AC145">
        <v>210000</v>
      </c>
      <c r="AD145">
        <v>0</v>
      </c>
      <c r="AE145" t="s">
        <v>101</v>
      </c>
      <c r="AF145" t="s">
        <v>102</v>
      </c>
      <c r="AG145" t="s">
        <v>103</v>
      </c>
      <c r="AH145">
        <v>347.6179533714033</v>
      </c>
      <c r="AI145" t="s">
        <v>47</v>
      </c>
      <c r="AJ145" t="s">
        <v>104</v>
      </c>
      <c r="AK145">
        <v>993.86599522943004</v>
      </c>
      <c r="AL145" t="s">
        <v>105</v>
      </c>
      <c r="AM145" s="41" t="s">
        <v>224</v>
      </c>
      <c r="AN145">
        <f t="shared" si="65"/>
        <v>25</v>
      </c>
      <c r="AO145" t="str">
        <f t="shared" si="66"/>
        <v>이상</v>
      </c>
      <c r="AP145">
        <f t="shared" si="67"/>
        <v>26</v>
      </c>
      <c r="AQ145">
        <f t="shared" si="68"/>
        <v>40</v>
      </c>
      <c r="AR145" t="str">
        <f t="shared" si="69"/>
        <v>저</v>
      </c>
      <c r="AS145">
        <f>IFERROR(ACOS(SIN(RADIANS(거래사례!$S$11))*SIN(RADIANS($T145))+COS(RADIANS(거래사례!$S$11))*COS(RADIANS($T145))*COS(RADIANS($U145-거래사례!$P$11)))*6371000,"")</f>
        <v>1858.8465009963252</v>
      </c>
    </row>
    <row r="146" spans="1:45" hidden="1">
      <c r="A146">
        <v>2608389578</v>
      </c>
      <c r="B146">
        <v>1144012000</v>
      </c>
      <c r="C146" t="s">
        <v>211</v>
      </c>
      <c r="D146" t="s">
        <v>0</v>
      </c>
      <c r="E146" t="s">
        <v>94</v>
      </c>
      <c r="F146" t="s">
        <v>135</v>
      </c>
      <c r="G146">
        <v>1</v>
      </c>
      <c r="H146">
        <v>2</v>
      </c>
      <c r="I146">
        <v>70000</v>
      </c>
      <c r="J146">
        <v>0</v>
      </c>
      <c r="K146" t="s">
        <v>225</v>
      </c>
      <c r="L146">
        <v>85</v>
      </c>
      <c r="M146">
        <v>25</v>
      </c>
      <c r="N146">
        <v>2800</v>
      </c>
      <c r="O146">
        <v>54.41</v>
      </c>
      <c r="P146">
        <v>16</v>
      </c>
      <c r="Q146">
        <v>4375</v>
      </c>
      <c r="R146" t="s">
        <v>161</v>
      </c>
      <c r="S146" s="40">
        <v>46065</v>
      </c>
      <c r="T146">
        <v>37.550941999999999</v>
      </c>
      <c r="U146">
        <v>126.913787</v>
      </c>
      <c r="V146" t="s">
        <v>226</v>
      </c>
      <c r="W146" t="s">
        <v>205</v>
      </c>
      <c r="X146">
        <v>1</v>
      </c>
      <c r="Y146">
        <v>0</v>
      </c>
      <c r="Z146">
        <v>0</v>
      </c>
      <c r="AA146" t="s">
        <v>99</v>
      </c>
      <c r="AB146" t="s">
        <v>227</v>
      </c>
      <c r="AC146">
        <v>70000</v>
      </c>
      <c r="AD146">
        <v>0</v>
      </c>
      <c r="AE146" t="s">
        <v>101</v>
      </c>
      <c r="AF146" t="s">
        <v>115</v>
      </c>
      <c r="AG146" t="s">
        <v>116</v>
      </c>
      <c r="AH146">
        <v>132.09524505029225</v>
      </c>
      <c r="AI146" t="s">
        <v>47</v>
      </c>
      <c r="AJ146" t="s">
        <v>104</v>
      </c>
      <c r="AK146">
        <v>528.49483569447079</v>
      </c>
      <c r="AL146">
        <v>1</v>
      </c>
      <c r="AM146" s="41" t="s">
        <v>178</v>
      </c>
    </row>
    <row r="147" spans="1:45" hidden="1">
      <c r="A147">
        <v>2609170109</v>
      </c>
      <c r="B147">
        <v>1144011100</v>
      </c>
      <c r="C147" t="s">
        <v>134</v>
      </c>
      <c r="D147" t="s">
        <v>0</v>
      </c>
      <c r="E147" t="s">
        <v>94</v>
      </c>
      <c r="F147" t="s">
        <v>135</v>
      </c>
      <c r="G147">
        <v>1</v>
      </c>
      <c r="H147">
        <v>1</v>
      </c>
      <c r="I147">
        <v>49500</v>
      </c>
      <c r="J147">
        <v>0</v>
      </c>
      <c r="K147" t="s">
        <v>533</v>
      </c>
      <c r="L147">
        <v>72</v>
      </c>
      <c r="M147">
        <v>21</v>
      </c>
      <c r="N147">
        <v>2357</v>
      </c>
      <c r="O147">
        <v>38.43</v>
      </c>
      <c r="P147">
        <v>11</v>
      </c>
      <c r="Q147">
        <v>4500</v>
      </c>
      <c r="R147" t="s">
        <v>136</v>
      </c>
      <c r="S147" s="40">
        <v>46072</v>
      </c>
      <c r="T147">
        <v>37.551091999999997</v>
      </c>
      <c r="U147">
        <v>126.934428</v>
      </c>
      <c r="V147" t="s">
        <v>534</v>
      </c>
      <c r="W147" t="s">
        <v>535</v>
      </c>
      <c r="X147">
        <v>1</v>
      </c>
      <c r="Y147">
        <v>0</v>
      </c>
      <c r="Z147">
        <v>0</v>
      </c>
      <c r="AA147" t="s">
        <v>176</v>
      </c>
      <c r="AB147" t="s">
        <v>523</v>
      </c>
      <c r="AC147">
        <v>49500</v>
      </c>
      <c r="AD147">
        <v>0</v>
      </c>
      <c r="AE147" t="s">
        <v>101</v>
      </c>
      <c r="AF147" t="s">
        <v>475</v>
      </c>
      <c r="AG147" t="s">
        <v>476</v>
      </c>
      <c r="AH147">
        <v>163.81954637736581</v>
      </c>
      <c r="AI147" t="s">
        <v>47</v>
      </c>
      <c r="AJ147" t="s">
        <v>104</v>
      </c>
      <c r="AK147">
        <v>1271.8041472437619</v>
      </c>
      <c r="AL147" t="s">
        <v>105</v>
      </c>
      <c r="AM147" s="41" t="s">
        <v>524</v>
      </c>
    </row>
    <row r="148" spans="1:45">
      <c r="A148">
        <v>2611266121</v>
      </c>
      <c r="B148">
        <v>1144012200</v>
      </c>
      <c r="C148" t="s">
        <v>93</v>
      </c>
      <c r="D148" t="s">
        <v>0</v>
      </c>
      <c r="E148" t="s">
        <v>94</v>
      </c>
      <c r="F148" t="s">
        <v>108</v>
      </c>
      <c r="G148">
        <v>1</v>
      </c>
      <c r="H148">
        <v>3</v>
      </c>
      <c r="I148">
        <v>210000</v>
      </c>
      <c r="J148">
        <v>0</v>
      </c>
      <c r="K148" t="s">
        <v>219</v>
      </c>
      <c r="L148">
        <v>164</v>
      </c>
      <c r="M148">
        <v>49</v>
      </c>
      <c r="N148">
        <v>4285</v>
      </c>
      <c r="O148">
        <v>164</v>
      </c>
      <c r="P148">
        <v>49</v>
      </c>
      <c r="Q148">
        <v>4286</v>
      </c>
      <c r="R148" t="s">
        <v>136</v>
      </c>
      <c r="S148" s="40">
        <v>46081</v>
      </c>
      <c r="T148">
        <v>37.552936000000003</v>
      </c>
      <c r="U148">
        <v>126.90994000000001</v>
      </c>
      <c r="V148" t="s">
        <v>220</v>
      </c>
      <c r="W148" t="s">
        <v>221</v>
      </c>
      <c r="X148">
        <v>1</v>
      </c>
      <c r="Y148">
        <v>0</v>
      </c>
      <c r="Z148">
        <v>0</v>
      </c>
      <c r="AA148" t="s">
        <v>222</v>
      </c>
      <c r="AB148" t="s">
        <v>223</v>
      </c>
      <c r="AC148">
        <v>210000</v>
      </c>
      <c r="AD148">
        <v>0</v>
      </c>
      <c r="AE148" t="s">
        <v>101</v>
      </c>
      <c r="AF148" t="s">
        <v>102</v>
      </c>
      <c r="AG148" t="s">
        <v>103</v>
      </c>
      <c r="AH148">
        <v>347.6179533714033</v>
      </c>
      <c r="AI148" t="s">
        <v>47</v>
      </c>
      <c r="AJ148" t="s">
        <v>104</v>
      </c>
      <c r="AK148">
        <v>993.86599522943004</v>
      </c>
      <c r="AL148" t="s">
        <v>105</v>
      </c>
      <c r="AM148" s="41" t="s">
        <v>224</v>
      </c>
      <c r="AN148">
        <f>IFERROR(VALUE(LEFT($W148,FIND("년",$W148)-1)),"")</f>
        <v>25</v>
      </c>
      <c r="AO148" t="str">
        <f>IFERROR(IF(FIND("년",$W148)=3,MID($W148,FIND("년",$W148)+1,FIND("년",$W148)-1),MID($W148,FIND("년",$W148)+1,FIND("년",$W148))),"")</f>
        <v>이상</v>
      </c>
      <c r="AP148">
        <f>IFERROR(IF($AN148&lt;11,10,IF(AND($AN148&lt;26,$AO148="이내"),25,26)),"")</f>
        <v>26</v>
      </c>
      <c r="AQ148">
        <f>IFERROR(IF($P148&lt;10,9,IF($P148&lt;20,10,IF($P148&lt;30,20,IF($P148&lt;40,30,40)))),"")</f>
        <v>40</v>
      </c>
      <c r="AR148" t="str">
        <f>IFERROR(IF($D148="상가",IF($G148="1","1층",IF($G148="전체층","전체층",IF(LEFT($G148,1)="B","B1",IF($G148&lt;6,"저",IF($G148/$H148&lt;=$BC$9,"저",IF($G148/$H148&lt;=$BC$10,"중","고")))))),IF(LEFT($G148,1)="B","B1",IF($H148&lt;6,"저",IF($G148/$H148&lt;=$BC$2,"저",IF($G148/$H148&lt;=$BC$3,"중","고"))))),"")</f>
        <v>저</v>
      </c>
      <c r="AS148">
        <f>IFERROR(ACOS(SIN(RADIANS(거래사례!$S$11))*SIN(RADIANS($T148))+COS(RADIANS(거래사례!$S$11))*COS(RADIANS($T148))*COS(RADIANS($U148-거래사례!$P$11)))*6371000,"")</f>
        <v>1858.8465009963252</v>
      </c>
    </row>
    <row r="149" spans="1:45" hidden="1">
      <c r="A149">
        <v>2606832378</v>
      </c>
      <c r="B149">
        <v>1144011100</v>
      </c>
      <c r="C149" t="s">
        <v>134</v>
      </c>
      <c r="D149" t="s">
        <v>0</v>
      </c>
      <c r="E149" t="s">
        <v>94</v>
      </c>
      <c r="F149" t="s">
        <v>95</v>
      </c>
      <c r="G149" t="s">
        <v>35</v>
      </c>
      <c r="H149">
        <v>1</v>
      </c>
      <c r="I149">
        <v>49500</v>
      </c>
      <c r="J149">
        <v>0</v>
      </c>
      <c r="K149" t="s">
        <v>533</v>
      </c>
      <c r="L149">
        <v>38</v>
      </c>
      <c r="M149">
        <v>11</v>
      </c>
      <c r="N149">
        <v>4500</v>
      </c>
      <c r="O149">
        <v>38.43</v>
      </c>
      <c r="P149">
        <v>11</v>
      </c>
      <c r="Q149">
        <v>4500</v>
      </c>
      <c r="R149" t="s">
        <v>154</v>
      </c>
      <c r="S149" s="40">
        <v>46057</v>
      </c>
      <c r="T149">
        <v>37.551091999999997</v>
      </c>
      <c r="U149">
        <v>126.934428</v>
      </c>
      <c r="V149" t="s">
        <v>536</v>
      </c>
      <c r="W149" t="s">
        <v>537</v>
      </c>
      <c r="X149">
        <v>1</v>
      </c>
      <c r="Y149">
        <v>0</v>
      </c>
      <c r="Z149">
        <v>0</v>
      </c>
      <c r="AA149" t="s">
        <v>139</v>
      </c>
      <c r="AB149" t="s">
        <v>538</v>
      </c>
      <c r="AC149">
        <v>49500</v>
      </c>
      <c r="AD149">
        <v>0</v>
      </c>
      <c r="AE149" t="s">
        <v>101</v>
      </c>
      <c r="AF149" t="s">
        <v>475</v>
      </c>
      <c r="AG149" t="s">
        <v>476</v>
      </c>
      <c r="AH149">
        <v>163.81954637736581</v>
      </c>
      <c r="AI149" t="s">
        <v>47</v>
      </c>
      <c r="AJ149" t="s">
        <v>104</v>
      </c>
      <c r="AK149">
        <v>1271.8041472437619</v>
      </c>
      <c r="AL149" t="s">
        <v>105</v>
      </c>
      <c r="AM149" s="41" t="s">
        <v>524</v>
      </c>
    </row>
    <row r="150" spans="1:45">
      <c r="A150">
        <v>2606242801</v>
      </c>
      <c r="B150">
        <v>1144012400</v>
      </c>
      <c r="C150" t="s">
        <v>93</v>
      </c>
      <c r="D150" t="s">
        <v>0</v>
      </c>
      <c r="E150" t="s">
        <v>94</v>
      </c>
      <c r="F150" t="s">
        <v>119</v>
      </c>
      <c r="G150">
        <v>2</v>
      </c>
      <c r="H150">
        <v>2</v>
      </c>
      <c r="I150">
        <v>320000</v>
      </c>
      <c r="J150">
        <v>0</v>
      </c>
      <c r="K150" t="s">
        <v>672</v>
      </c>
      <c r="L150">
        <v>244</v>
      </c>
      <c r="M150">
        <v>73</v>
      </c>
      <c r="N150">
        <v>4383</v>
      </c>
      <c r="O150">
        <v>244.63</v>
      </c>
      <c r="P150">
        <v>74</v>
      </c>
      <c r="Q150">
        <v>4324</v>
      </c>
      <c r="R150" t="s">
        <v>96</v>
      </c>
      <c r="S150" s="40">
        <v>46055</v>
      </c>
      <c r="T150">
        <v>37.564205000000001</v>
      </c>
      <c r="U150">
        <v>126.918177</v>
      </c>
      <c r="V150" t="s">
        <v>673</v>
      </c>
      <c r="W150" t="s">
        <v>674</v>
      </c>
      <c r="X150">
        <v>1</v>
      </c>
      <c r="Y150">
        <v>0</v>
      </c>
      <c r="Z150">
        <v>0</v>
      </c>
      <c r="AA150" t="s">
        <v>124</v>
      </c>
      <c r="AB150" t="s">
        <v>657</v>
      </c>
      <c r="AC150">
        <v>320000</v>
      </c>
      <c r="AD150">
        <v>0</v>
      </c>
      <c r="AE150" t="s">
        <v>101</v>
      </c>
      <c r="AF150" t="s">
        <v>653</v>
      </c>
      <c r="AG150" t="s">
        <v>476</v>
      </c>
      <c r="AH150">
        <v>616.90437314966027</v>
      </c>
      <c r="AI150" t="s">
        <v>47</v>
      </c>
      <c r="AJ150" t="s">
        <v>104</v>
      </c>
      <c r="AK150">
        <v>1534.6844095642866</v>
      </c>
      <c r="AL150" t="s">
        <v>105</v>
      </c>
      <c r="AM150" s="41" t="s">
        <v>675</v>
      </c>
      <c r="AN150">
        <f t="shared" ref="AN150:AN153" si="70">IFERROR(VALUE(LEFT($W150,FIND("년",$W150)-1)),"")</f>
        <v>15</v>
      </c>
      <c r="AO150" t="str">
        <f t="shared" ref="AO150:AO153" si="71">IFERROR(IF(FIND("년",$W150)=3,MID($W150,FIND("년",$W150)+1,FIND("년",$W150)-1),MID($W150,FIND("년",$W150)+1,FIND("년",$W150))),"")</f>
        <v>이내</v>
      </c>
      <c r="AP150">
        <f t="shared" ref="AP150:AP153" si="72">IFERROR(IF($AN150&lt;11,10,IF(AND($AN150&lt;26,$AO150="이내"),25,26)),"")</f>
        <v>25</v>
      </c>
      <c r="AQ150">
        <f t="shared" ref="AQ150:AQ153" si="73">IFERROR(IF($P150&lt;10,9,IF($P150&lt;20,10,IF($P150&lt;30,20,IF($P150&lt;40,30,40)))),"")</f>
        <v>40</v>
      </c>
      <c r="AR150" t="str">
        <f t="shared" ref="AR150:AR153" si="74">IFERROR(IF($D150="상가",IF($G150="1","1층",IF($G150="전체층","전체층",IF(LEFT($G150,1)="B","B1",IF($G150&lt;6,"저",IF($G150/$H150&lt;=$BC$9,"저",IF($G150/$H150&lt;=$BC$10,"중","고")))))),IF(LEFT($G150,1)="B","B1",IF($H150&lt;6,"저",IF($G150/$H150&lt;=$BC$2,"저",IF($G150/$H150&lt;=$BC$3,"중","고"))))),"")</f>
        <v>저</v>
      </c>
      <c r="AS150">
        <f>IFERROR(ACOS(SIN(RADIANS(거래사례!$S$11))*SIN(RADIANS($T150))+COS(RADIANS(거래사례!$S$11))*COS(RADIANS($T150))*COS(RADIANS($U150-거래사례!$P$11)))*6371000,"")</f>
        <v>1085.4524609438488</v>
      </c>
    </row>
    <row r="151" spans="1:45">
      <c r="A151">
        <v>2609102483</v>
      </c>
      <c r="B151">
        <v>1144012000</v>
      </c>
      <c r="C151" t="s">
        <v>134</v>
      </c>
      <c r="D151" t="s">
        <v>0</v>
      </c>
      <c r="E151" t="s">
        <v>94</v>
      </c>
      <c r="F151" t="s">
        <v>95</v>
      </c>
      <c r="G151">
        <v>1</v>
      </c>
      <c r="H151">
        <v>2</v>
      </c>
      <c r="I151">
        <v>90000</v>
      </c>
      <c r="J151">
        <v>0</v>
      </c>
      <c r="K151" t="s">
        <v>212</v>
      </c>
      <c r="L151">
        <v>66</v>
      </c>
      <c r="M151">
        <v>19</v>
      </c>
      <c r="N151">
        <v>4736</v>
      </c>
      <c r="O151">
        <v>66.72</v>
      </c>
      <c r="P151">
        <v>20</v>
      </c>
      <c r="Q151">
        <v>4500</v>
      </c>
      <c r="R151" t="s">
        <v>96</v>
      </c>
      <c r="S151" s="40">
        <v>46072</v>
      </c>
      <c r="T151">
        <v>37.550941999999999</v>
      </c>
      <c r="U151">
        <v>126.913787</v>
      </c>
      <c r="V151" t="s">
        <v>228</v>
      </c>
      <c r="W151" t="s">
        <v>205</v>
      </c>
      <c r="X151">
        <v>1</v>
      </c>
      <c r="Y151">
        <v>0</v>
      </c>
      <c r="Z151">
        <v>0</v>
      </c>
      <c r="AA151" t="s">
        <v>139</v>
      </c>
      <c r="AB151" t="s">
        <v>206</v>
      </c>
      <c r="AC151">
        <v>90000</v>
      </c>
      <c r="AD151">
        <v>0</v>
      </c>
      <c r="AE151" t="s">
        <v>101</v>
      </c>
      <c r="AF151" t="s">
        <v>115</v>
      </c>
      <c r="AG151" t="s">
        <v>116</v>
      </c>
      <c r="AH151">
        <v>132.09524505029225</v>
      </c>
      <c r="AI151" t="s">
        <v>47</v>
      </c>
      <c r="AJ151" t="s">
        <v>104</v>
      </c>
      <c r="AK151">
        <v>528.49483569447079</v>
      </c>
      <c r="AL151">
        <v>1</v>
      </c>
      <c r="AM151" s="41" t="s">
        <v>178</v>
      </c>
      <c r="AN151">
        <f t="shared" si="70"/>
        <v>15</v>
      </c>
      <c r="AO151" t="str">
        <f t="shared" si="71"/>
        <v>이내</v>
      </c>
      <c r="AP151">
        <f t="shared" si="72"/>
        <v>25</v>
      </c>
      <c r="AQ151">
        <f t="shared" si="73"/>
        <v>20</v>
      </c>
      <c r="AR151" t="str">
        <f t="shared" si="74"/>
        <v>저</v>
      </c>
      <c r="AS151">
        <f>IFERROR(ACOS(SIN(RADIANS(거래사례!$S$11))*SIN(RADIANS($T151))+COS(RADIANS(거래사례!$S$11))*COS(RADIANS($T151))*COS(RADIANS($U151-거래사례!$P$11)))*6371000,"")</f>
        <v>1675.8614531849782</v>
      </c>
    </row>
    <row r="152" spans="1:45">
      <c r="A152">
        <v>2609102483</v>
      </c>
      <c r="B152">
        <v>1144012000</v>
      </c>
      <c r="C152" t="s">
        <v>134</v>
      </c>
      <c r="D152" t="s">
        <v>0</v>
      </c>
      <c r="E152" t="s">
        <v>94</v>
      </c>
      <c r="F152" t="s">
        <v>95</v>
      </c>
      <c r="G152">
        <v>1</v>
      </c>
      <c r="H152">
        <v>2</v>
      </c>
      <c r="I152">
        <v>90000</v>
      </c>
      <c r="J152">
        <v>0</v>
      </c>
      <c r="K152" t="s">
        <v>212</v>
      </c>
      <c r="L152">
        <v>66</v>
      </c>
      <c r="M152">
        <v>19</v>
      </c>
      <c r="N152">
        <v>4736</v>
      </c>
      <c r="O152">
        <v>66.72</v>
      </c>
      <c r="P152">
        <v>20</v>
      </c>
      <c r="Q152">
        <v>4500</v>
      </c>
      <c r="R152" t="s">
        <v>96</v>
      </c>
      <c r="S152" s="40">
        <v>46072</v>
      </c>
      <c r="T152">
        <v>37.550941999999999</v>
      </c>
      <c r="U152">
        <v>126.913787</v>
      </c>
      <c r="V152" t="s">
        <v>228</v>
      </c>
      <c r="W152" t="s">
        <v>205</v>
      </c>
      <c r="X152">
        <v>1</v>
      </c>
      <c r="Y152">
        <v>0</v>
      </c>
      <c r="Z152">
        <v>0</v>
      </c>
      <c r="AA152" t="s">
        <v>139</v>
      </c>
      <c r="AB152" t="s">
        <v>206</v>
      </c>
      <c r="AC152">
        <v>90000</v>
      </c>
      <c r="AD152">
        <v>0</v>
      </c>
      <c r="AE152" t="s">
        <v>101</v>
      </c>
      <c r="AF152" t="s">
        <v>115</v>
      </c>
      <c r="AG152" t="s">
        <v>116</v>
      </c>
      <c r="AH152">
        <v>132.09524505029225</v>
      </c>
      <c r="AI152" t="s">
        <v>47</v>
      </c>
      <c r="AJ152" t="s">
        <v>104</v>
      </c>
      <c r="AK152">
        <v>528.49483569447079</v>
      </c>
      <c r="AL152">
        <v>1</v>
      </c>
      <c r="AM152" s="41" t="s">
        <v>178</v>
      </c>
      <c r="AN152">
        <f t="shared" si="70"/>
        <v>15</v>
      </c>
      <c r="AO152" t="str">
        <f t="shared" si="71"/>
        <v>이내</v>
      </c>
      <c r="AP152">
        <f t="shared" si="72"/>
        <v>25</v>
      </c>
      <c r="AQ152">
        <f t="shared" si="73"/>
        <v>20</v>
      </c>
      <c r="AR152" t="str">
        <f t="shared" si="74"/>
        <v>저</v>
      </c>
      <c r="AS152">
        <f>IFERROR(ACOS(SIN(RADIANS(거래사례!$S$11))*SIN(RADIANS($T152))+COS(RADIANS(거래사례!$S$11))*COS(RADIANS($T152))*COS(RADIANS($U152-거래사례!$P$11)))*6371000,"")</f>
        <v>1675.8614531849782</v>
      </c>
    </row>
    <row r="153" spans="1:45">
      <c r="A153">
        <v>2610206199</v>
      </c>
      <c r="B153">
        <v>1144012200</v>
      </c>
      <c r="C153" t="s">
        <v>93</v>
      </c>
      <c r="D153" t="s">
        <v>0</v>
      </c>
      <c r="E153" t="s">
        <v>94</v>
      </c>
      <c r="F153" t="s">
        <v>135</v>
      </c>
      <c r="G153">
        <v>1</v>
      </c>
      <c r="H153">
        <v>5</v>
      </c>
      <c r="I153">
        <v>110000</v>
      </c>
      <c r="J153">
        <v>0</v>
      </c>
      <c r="K153" t="s">
        <v>229</v>
      </c>
      <c r="L153">
        <v>96</v>
      </c>
      <c r="M153">
        <v>29</v>
      </c>
      <c r="N153">
        <v>3793</v>
      </c>
      <c r="O153">
        <v>81.55</v>
      </c>
      <c r="P153">
        <v>24</v>
      </c>
      <c r="Q153">
        <v>4583</v>
      </c>
      <c r="R153" t="s">
        <v>161</v>
      </c>
      <c r="S153" s="40">
        <v>46076</v>
      </c>
      <c r="T153">
        <v>37.549523000000001</v>
      </c>
      <c r="U153">
        <v>126.907415</v>
      </c>
      <c r="V153" t="s">
        <v>230</v>
      </c>
      <c r="W153" t="s">
        <v>195</v>
      </c>
      <c r="X153">
        <v>1</v>
      </c>
      <c r="Y153">
        <v>0</v>
      </c>
      <c r="Z153">
        <v>0</v>
      </c>
      <c r="AA153" t="s">
        <v>99</v>
      </c>
      <c r="AB153" t="s">
        <v>231</v>
      </c>
      <c r="AC153">
        <v>110000</v>
      </c>
      <c r="AD153">
        <v>0</v>
      </c>
      <c r="AE153" t="s">
        <v>101</v>
      </c>
      <c r="AF153" t="s">
        <v>115</v>
      </c>
      <c r="AG153" t="s">
        <v>116</v>
      </c>
      <c r="AH153">
        <v>643.63877654577186</v>
      </c>
      <c r="AI153" t="s">
        <v>47</v>
      </c>
      <c r="AJ153" t="s">
        <v>104</v>
      </c>
      <c r="AK153">
        <v>1238.5989522618229</v>
      </c>
      <c r="AL153" t="s">
        <v>105</v>
      </c>
      <c r="AM153" s="41" t="s">
        <v>232</v>
      </c>
      <c r="AN153">
        <f t="shared" si="70"/>
        <v>4</v>
      </c>
      <c r="AO153" t="str">
        <f t="shared" si="71"/>
        <v>이내</v>
      </c>
      <c r="AP153">
        <f t="shared" si="72"/>
        <v>10</v>
      </c>
      <c r="AQ153">
        <f t="shared" si="73"/>
        <v>20</v>
      </c>
      <c r="AR153" t="str">
        <f t="shared" si="74"/>
        <v>저</v>
      </c>
      <c r="AS153">
        <f>IFERROR(ACOS(SIN(RADIANS(거래사례!$S$11))*SIN(RADIANS($T153))+COS(RADIANS(거래사례!$S$11))*COS(RADIANS($T153))*COS(RADIANS($U153-거래사례!$P$11)))*6371000,"")</f>
        <v>2232.2482438871571</v>
      </c>
    </row>
    <row r="154" spans="1:45" hidden="1">
      <c r="A154">
        <v>2610174211</v>
      </c>
      <c r="B154">
        <v>1144012200</v>
      </c>
      <c r="C154" t="s">
        <v>134</v>
      </c>
      <c r="D154" t="s">
        <v>0</v>
      </c>
      <c r="E154" t="s">
        <v>94</v>
      </c>
      <c r="F154" t="s">
        <v>95</v>
      </c>
      <c r="G154">
        <v>1</v>
      </c>
      <c r="H154">
        <v>36</v>
      </c>
      <c r="I154">
        <v>84000</v>
      </c>
      <c r="J154">
        <v>0</v>
      </c>
      <c r="K154" t="s">
        <v>249</v>
      </c>
      <c r="L154">
        <v>183</v>
      </c>
      <c r="M154">
        <v>55</v>
      </c>
      <c r="N154">
        <v>1527</v>
      </c>
      <c r="O154">
        <v>60.83</v>
      </c>
      <c r="P154">
        <v>18</v>
      </c>
      <c r="Q154">
        <v>4667</v>
      </c>
      <c r="R154" t="s">
        <v>161</v>
      </c>
      <c r="S154" s="40">
        <v>46076</v>
      </c>
      <c r="T154">
        <v>37.551057</v>
      </c>
      <c r="U154">
        <v>126.911867</v>
      </c>
      <c r="V154" t="s">
        <v>250</v>
      </c>
      <c r="W154" t="s">
        <v>251</v>
      </c>
      <c r="X154">
        <v>1</v>
      </c>
      <c r="Y154">
        <v>0</v>
      </c>
      <c r="Z154">
        <v>0</v>
      </c>
      <c r="AA154" t="s">
        <v>139</v>
      </c>
      <c r="AB154" t="s">
        <v>140</v>
      </c>
      <c r="AC154">
        <v>84000</v>
      </c>
      <c r="AD154">
        <v>0</v>
      </c>
      <c r="AE154" t="s">
        <v>101</v>
      </c>
      <c r="AF154" t="s">
        <v>115</v>
      </c>
      <c r="AG154" t="s">
        <v>116</v>
      </c>
      <c r="AH154">
        <v>248.53865605694642</v>
      </c>
      <c r="AI154" t="s">
        <v>47</v>
      </c>
      <c r="AJ154" t="s">
        <v>104</v>
      </c>
      <c r="AK154">
        <v>742.41426284908061</v>
      </c>
      <c r="AL154" t="s">
        <v>105</v>
      </c>
      <c r="AM154" s="41" t="s">
        <v>150</v>
      </c>
    </row>
    <row r="155" spans="1:45">
      <c r="A155">
        <v>2608072055</v>
      </c>
      <c r="B155">
        <v>1144012200</v>
      </c>
      <c r="C155" t="s">
        <v>93</v>
      </c>
      <c r="D155" t="s">
        <v>0</v>
      </c>
      <c r="E155" t="s">
        <v>94</v>
      </c>
      <c r="F155" t="s">
        <v>135</v>
      </c>
      <c r="G155">
        <v>1</v>
      </c>
      <c r="H155">
        <v>5</v>
      </c>
      <c r="I155">
        <v>110000</v>
      </c>
      <c r="J155">
        <v>0</v>
      </c>
      <c r="K155" t="s">
        <v>229</v>
      </c>
      <c r="L155">
        <v>96</v>
      </c>
      <c r="M155">
        <v>29</v>
      </c>
      <c r="N155">
        <v>3793</v>
      </c>
      <c r="O155">
        <v>81.55</v>
      </c>
      <c r="P155">
        <v>24</v>
      </c>
      <c r="Q155">
        <v>4583</v>
      </c>
      <c r="R155" t="s">
        <v>161</v>
      </c>
      <c r="S155" s="40">
        <v>46063</v>
      </c>
      <c r="T155">
        <v>37.549523000000001</v>
      </c>
      <c r="U155">
        <v>126.907415</v>
      </c>
      <c r="V155" t="s">
        <v>233</v>
      </c>
      <c r="W155" t="s">
        <v>195</v>
      </c>
      <c r="X155">
        <v>1</v>
      </c>
      <c r="Y155">
        <v>0</v>
      </c>
      <c r="Z155">
        <v>0</v>
      </c>
      <c r="AA155" t="s">
        <v>139</v>
      </c>
      <c r="AB155" t="s">
        <v>234</v>
      </c>
      <c r="AC155">
        <v>110000</v>
      </c>
      <c r="AD155">
        <v>0</v>
      </c>
      <c r="AE155" t="s">
        <v>101</v>
      </c>
      <c r="AF155" t="s">
        <v>115</v>
      </c>
      <c r="AG155" t="s">
        <v>116</v>
      </c>
      <c r="AH155">
        <v>643.63877654577186</v>
      </c>
      <c r="AI155" t="s">
        <v>47</v>
      </c>
      <c r="AJ155" t="s">
        <v>104</v>
      </c>
      <c r="AK155">
        <v>1238.5989522618229</v>
      </c>
      <c r="AL155" t="s">
        <v>105</v>
      </c>
      <c r="AM155" s="41" t="s">
        <v>232</v>
      </c>
      <c r="AN155">
        <f>IFERROR(VALUE(LEFT($W155,FIND("년",$W155)-1)),"")</f>
        <v>4</v>
      </c>
      <c r="AO155" t="str">
        <f>IFERROR(IF(FIND("년",$W155)=3,MID($W155,FIND("년",$W155)+1,FIND("년",$W155)-1),MID($W155,FIND("년",$W155)+1,FIND("년",$W155))),"")</f>
        <v>이내</v>
      </c>
      <c r="AP155">
        <f>IFERROR(IF($AN155&lt;11,10,IF(AND($AN155&lt;26,$AO155="이내"),25,26)),"")</f>
        <v>10</v>
      </c>
      <c r="AQ155">
        <f>IFERROR(IF($P155&lt;10,9,IF($P155&lt;20,10,IF($P155&lt;30,20,IF($P155&lt;40,30,40)))),"")</f>
        <v>20</v>
      </c>
      <c r="AR155" t="str">
        <f>IFERROR(IF($D155="상가",IF($G155="1","1층",IF($G155="전체층","전체층",IF(LEFT($G155,1)="B","B1",IF($G155&lt;6,"저",IF($G155/$H155&lt;=$BC$9,"저",IF($G155/$H155&lt;=$BC$10,"중","고")))))),IF(LEFT($G155,1)="B","B1",IF($H155&lt;6,"저",IF($G155/$H155&lt;=$BC$2,"저",IF($G155/$H155&lt;=$BC$3,"중","고"))))),"")</f>
        <v>저</v>
      </c>
      <c r="AS155">
        <f>IFERROR(ACOS(SIN(RADIANS(거래사례!$S$11))*SIN(RADIANS($T155))+COS(RADIANS(거래사례!$S$11))*COS(RADIANS($T155))*COS(RADIANS($U155-거래사례!$P$11)))*6371000,"")</f>
        <v>2232.2482438871571</v>
      </c>
    </row>
    <row r="156" spans="1:45" hidden="1">
      <c r="A156">
        <v>2610174559</v>
      </c>
      <c r="B156">
        <v>1144012200</v>
      </c>
      <c r="C156" t="s">
        <v>134</v>
      </c>
      <c r="D156" t="s">
        <v>0</v>
      </c>
      <c r="E156" t="s">
        <v>94</v>
      </c>
      <c r="F156" t="s">
        <v>95</v>
      </c>
      <c r="G156">
        <v>1</v>
      </c>
      <c r="H156">
        <v>36</v>
      </c>
      <c r="I156">
        <v>53000</v>
      </c>
      <c r="J156">
        <v>0</v>
      </c>
      <c r="K156" t="s">
        <v>257</v>
      </c>
      <c r="L156">
        <v>112</v>
      </c>
      <c r="M156">
        <v>33</v>
      </c>
      <c r="N156">
        <v>1606</v>
      </c>
      <c r="O156">
        <v>37.26</v>
      </c>
      <c r="P156">
        <v>11</v>
      </c>
      <c r="Q156">
        <v>4818</v>
      </c>
      <c r="R156" t="s">
        <v>145</v>
      </c>
      <c r="S156" s="40">
        <v>46076</v>
      </c>
      <c r="T156">
        <v>37.551057</v>
      </c>
      <c r="U156">
        <v>126.911867</v>
      </c>
      <c r="V156" t="s">
        <v>258</v>
      </c>
      <c r="W156" t="s">
        <v>259</v>
      </c>
      <c r="X156">
        <v>1</v>
      </c>
      <c r="Y156">
        <v>0</v>
      </c>
      <c r="Z156">
        <v>0</v>
      </c>
      <c r="AA156" t="s">
        <v>139</v>
      </c>
      <c r="AB156" t="s">
        <v>140</v>
      </c>
      <c r="AC156">
        <v>53000</v>
      </c>
      <c r="AD156">
        <v>0</v>
      </c>
      <c r="AE156" t="s">
        <v>101</v>
      </c>
      <c r="AF156" t="s">
        <v>115</v>
      </c>
      <c r="AG156" t="s">
        <v>116</v>
      </c>
      <c r="AH156">
        <v>248.53865605694642</v>
      </c>
      <c r="AI156" t="s">
        <v>47</v>
      </c>
      <c r="AJ156" t="s">
        <v>104</v>
      </c>
      <c r="AK156">
        <v>742.41426284908061</v>
      </c>
      <c r="AL156" t="s">
        <v>105</v>
      </c>
      <c r="AM156" s="41" t="s">
        <v>150</v>
      </c>
    </row>
    <row r="157" spans="1:45">
      <c r="A157">
        <v>2610206199</v>
      </c>
      <c r="B157">
        <v>1144012200</v>
      </c>
      <c r="C157" t="s">
        <v>93</v>
      </c>
      <c r="D157" t="s">
        <v>0</v>
      </c>
      <c r="E157" t="s">
        <v>94</v>
      </c>
      <c r="F157" t="s">
        <v>135</v>
      </c>
      <c r="G157">
        <v>1</v>
      </c>
      <c r="H157">
        <v>5</v>
      </c>
      <c r="I157">
        <v>110000</v>
      </c>
      <c r="J157">
        <v>0</v>
      </c>
      <c r="K157" t="s">
        <v>229</v>
      </c>
      <c r="L157">
        <v>96</v>
      </c>
      <c r="M157">
        <v>29</v>
      </c>
      <c r="N157">
        <v>3793</v>
      </c>
      <c r="O157">
        <v>81.55</v>
      </c>
      <c r="P157">
        <v>24</v>
      </c>
      <c r="Q157">
        <v>4583</v>
      </c>
      <c r="R157" t="s">
        <v>161</v>
      </c>
      <c r="S157" s="40">
        <v>46076</v>
      </c>
      <c r="T157">
        <v>37.549523000000001</v>
      </c>
      <c r="U157">
        <v>126.907415</v>
      </c>
      <c r="V157" t="s">
        <v>230</v>
      </c>
      <c r="W157" t="s">
        <v>195</v>
      </c>
      <c r="X157">
        <v>1</v>
      </c>
      <c r="Y157">
        <v>0</v>
      </c>
      <c r="Z157">
        <v>0</v>
      </c>
      <c r="AA157" t="s">
        <v>99</v>
      </c>
      <c r="AB157" t="s">
        <v>231</v>
      </c>
      <c r="AC157">
        <v>110000</v>
      </c>
      <c r="AD157">
        <v>0</v>
      </c>
      <c r="AE157" t="s">
        <v>101</v>
      </c>
      <c r="AF157" t="s">
        <v>115</v>
      </c>
      <c r="AG157" t="s">
        <v>116</v>
      </c>
      <c r="AH157">
        <v>643.63877654577186</v>
      </c>
      <c r="AI157" t="s">
        <v>47</v>
      </c>
      <c r="AJ157" t="s">
        <v>104</v>
      </c>
      <c r="AK157">
        <v>1238.5989522618229</v>
      </c>
      <c r="AL157" t="s">
        <v>105</v>
      </c>
      <c r="AM157" s="41" t="s">
        <v>232</v>
      </c>
      <c r="AN157">
        <f>IFERROR(VALUE(LEFT($W157,FIND("년",$W157)-1)),"")</f>
        <v>4</v>
      </c>
      <c r="AO157" t="str">
        <f>IFERROR(IF(FIND("년",$W157)=3,MID($W157,FIND("년",$W157)+1,FIND("년",$W157)-1),MID($W157,FIND("년",$W157)+1,FIND("년",$W157))),"")</f>
        <v>이내</v>
      </c>
      <c r="AP157">
        <f>IFERROR(IF($AN157&lt;11,10,IF(AND($AN157&lt;26,$AO157="이내"),25,26)),"")</f>
        <v>10</v>
      </c>
      <c r="AQ157">
        <f>IFERROR(IF($P157&lt;10,9,IF($P157&lt;20,10,IF($P157&lt;30,20,IF($P157&lt;40,30,40)))),"")</f>
        <v>20</v>
      </c>
      <c r="AR157" t="str">
        <f>IFERROR(IF($D157="상가",IF($G157="1","1층",IF($G157="전체층","전체층",IF(LEFT($G157,1)="B","B1",IF($G157&lt;6,"저",IF($G157/$H157&lt;=$BC$9,"저",IF($G157/$H157&lt;=$BC$10,"중","고")))))),IF(LEFT($G157,1)="B","B1",IF($H157&lt;6,"저",IF($G157/$H157&lt;=$BC$2,"저",IF($G157/$H157&lt;=$BC$3,"중","고"))))),"")</f>
        <v>저</v>
      </c>
      <c r="AS157">
        <f>IFERROR(ACOS(SIN(RADIANS(거래사례!$S$11))*SIN(RADIANS($T157))+COS(RADIANS(거래사례!$S$11))*COS(RADIANS($T157))*COS(RADIANS($U157-거래사례!$P$11)))*6371000,"")</f>
        <v>2232.2482438871571</v>
      </c>
    </row>
    <row r="158" spans="1:45" hidden="1">
      <c r="A158">
        <v>2610882783</v>
      </c>
      <c r="B158">
        <v>1144012000</v>
      </c>
      <c r="C158" t="s">
        <v>134</v>
      </c>
      <c r="D158" t="s">
        <v>0</v>
      </c>
      <c r="E158" t="s">
        <v>94</v>
      </c>
      <c r="F158" t="s">
        <v>135</v>
      </c>
      <c r="G158" t="s">
        <v>35</v>
      </c>
      <c r="H158">
        <v>19</v>
      </c>
      <c r="I158">
        <v>34000</v>
      </c>
      <c r="J158">
        <v>0</v>
      </c>
      <c r="K158" t="s">
        <v>179</v>
      </c>
      <c r="L158">
        <v>45</v>
      </c>
      <c r="M158">
        <v>13</v>
      </c>
      <c r="N158">
        <v>2615</v>
      </c>
      <c r="O158">
        <v>25.66</v>
      </c>
      <c r="P158">
        <v>7</v>
      </c>
      <c r="Q158">
        <v>4857</v>
      </c>
      <c r="R158" t="s">
        <v>161</v>
      </c>
      <c r="S158" s="40">
        <v>46079</v>
      </c>
      <c r="T158">
        <v>37.553798999999998</v>
      </c>
      <c r="U158">
        <v>126.92370099999999</v>
      </c>
      <c r="V158" t="s">
        <v>260</v>
      </c>
      <c r="W158" t="s">
        <v>261</v>
      </c>
      <c r="X158">
        <v>1</v>
      </c>
      <c r="Y158">
        <v>0</v>
      </c>
      <c r="Z158">
        <v>0</v>
      </c>
      <c r="AA158" t="s">
        <v>222</v>
      </c>
      <c r="AB158" t="s">
        <v>255</v>
      </c>
      <c r="AC158">
        <v>34000</v>
      </c>
      <c r="AD158">
        <v>0</v>
      </c>
      <c r="AE158" t="s">
        <v>101</v>
      </c>
      <c r="AF158" t="s">
        <v>165</v>
      </c>
      <c r="AG158" t="s">
        <v>166</v>
      </c>
      <c r="AH158">
        <v>344.14694489895248</v>
      </c>
      <c r="AI158" t="s">
        <v>47</v>
      </c>
      <c r="AJ158" t="s">
        <v>104</v>
      </c>
      <c r="AK158">
        <v>690.06417067304881</v>
      </c>
      <c r="AL158" t="s">
        <v>105</v>
      </c>
      <c r="AM158" s="41" t="s">
        <v>167</v>
      </c>
    </row>
    <row r="159" spans="1:45" hidden="1">
      <c r="A159">
        <v>2609957730</v>
      </c>
      <c r="B159">
        <v>1144012000</v>
      </c>
      <c r="C159" t="s">
        <v>93</v>
      </c>
      <c r="D159" t="s">
        <v>0</v>
      </c>
      <c r="E159" t="s">
        <v>94</v>
      </c>
      <c r="F159" t="s">
        <v>119</v>
      </c>
      <c r="G159" t="s">
        <v>35</v>
      </c>
      <c r="H159">
        <v>19</v>
      </c>
      <c r="I159">
        <v>34000</v>
      </c>
      <c r="J159">
        <v>0</v>
      </c>
      <c r="K159" t="s">
        <v>179</v>
      </c>
      <c r="L159">
        <v>45</v>
      </c>
      <c r="M159">
        <v>13</v>
      </c>
      <c r="N159">
        <v>2615</v>
      </c>
      <c r="O159">
        <v>25.66</v>
      </c>
      <c r="P159">
        <v>7</v>
      </c>
      <c r="Q159">
        <v>4857</v>
      </c>
      <c r="R159" t="s">
        <v>161</v>
      </c>
      <c r="S159" s="40">
        <v>46075</v>
      </c>
      <c r="T159">
        <v>37.553798999999998</v>
      </c>
      <c r="U159">
        <v>126.92370099999999</v>
      </c>
      <c r="V159" t="s">
        <v>262</v>
      </c>
      <c r="W159" t="s">
        <v>263</v>
      </c>
      <c r="X159">
        <v>1</v>
      </c>
      <c r="Y159">
        <v>0</v>
      </c>
      <c r="Z159">
        <v>0</v>
      </c>
      <c r="AA159" t="s">
        <v>124</v>
      </c>
      <c r="AB159" t="s">
        <v>264</v>
      </c>
      <c r="AC159">
        <v>34000</v>
      </c>
      <c r="AD159">
        <v>0</v>
      </c>
      <c r="AE159" t="s">
        <v>101</v>
      </c>
      <c r="AF159" t="s">
        <v>165</v>
      </c>
      <c r="AG159" t="s">
        <v>166</v>
      </c>
      <c r="AH159">
        <v>344.14694489895248</v>
      </c>
      <c r="AI159" t="s">
        <v>47</v>
      </c>
      <c r="AJ159" t="s">
        <v>104</v>
      </c>
      <c r="AK159">
        <v>690.06417067304881</v>
      </c>
      <c r="AL159" t="s">
        <v>105</v>
      </c>
      <c r="AM159" s="41" t="s">
        <v>167</v>
      </c>
    </row>
    <row r="160" spans="1:45" hidden="1">
      <c r="A160">
        <v>2611238674</v>
      </c>
      <c r="B160">
        <v>1144011100</v>
      </c>
      <c r="C160" t="s">
        <v>134</v>
      </c>
      <c r="D160" t="s">
        <v>0</v>
      </c>
      <c r="E160" t="s">
        <v>94</v>
      </c>
      <c r="F160" t="s">
        <v>128</v>
      </c>
      <c r="G160">
        <v>1</v>
      </c>
      <c r="H160">
        <v>1</v>
      </c>
      <c r="I160">
        <v>50000</v>
      </c>
      <c r="J160">
        <v>0</v>
      </c>
      <c r="K160" t="s">
        <v>168</v>
      </c>
      <c r="L160">
        <v>43</v>
      </c>
      <c r="M160">
        <v>13</v>
      </c>
      <c r="N160">
        <v>3846</v>
      </c>
      <c r="O160">
        <v>33.21</v>
      </c>
      <c r="P160">
        <v>10</v>
      </c>
      <c r="Q160">
        <v>5000</v>
      </c>
      <c r="R160" t="s">
        <v>136</v>
      </c>
      <c r="S160" s="40">
        <v>46081</v>
      </c>
      <c r="T160">
        <v>37.551304999999999</v>
      </c>
      <c r="U160">
        <v>126.935501</v>
      </c>
      <c r="V160" t="s">
        <v>543</v>
      </c>
      <c r="W160" t="s">
        <v>544</v>
      </c>
      <c r="X160">
        <v>1</v>
      </c>
      <c r="Y160">
        <v>0</v>
      </c>
      <c r="Z160">
        <v>0</v>
      </c>
      <c r="AA160" t="s">
        <v>113</v>
      </c>
      <c r="AB160" t="s">
        <v>545</v>
      </c>
      <c r="AC160">
        <v>50000</v>
      </c>
      <c r="AD160">
        <v>0</v>
      </c>
      <c r="AE160" t="s">
        <v>101</v>
      </c>
      <c r="AF160" t="s">
        <v>475</v>
      </c>
      <c r="AG160" t="s">
        <v>476</v>
      </c>
      <c r="AH160">
        <v>108.23715464523086</v>
      </c>
      <c r="AI160" t="s">
        <v>47</v>
      </c>
      <c r="AJ160" t="s">
        <v>104</v>
      </c>
      <c r="AK160">
        <v>1161.6540354883582</v>
      </c>
      <c r="AL160" t="s">
        <v>105</v>
      </c>
      <c r="AM160" s="41" t="s">
        <v>546</v>
      </c>
    </row>
    <row r="161" spans="1:45" hidden="1">
      <c r="A161">
        <v>2610688524</v>
      </c>
      <c r="B161">
        <v>1144012000</v>
      </c>
      <c r="C161" t="s">
        <v>134</v>
      </c>
      <c r="D161" t="s">
        <v>0</v>
      </c>
      <c r="E161" t="s">
        <v>94</v>
      </c>
      <c r="F161" t="s">
        <v>135</v>
      </c>
      <c r="G161">
        <v>1</v>
      </c>
      <c r="H161">
        <v>12</v>
      </c>
      <c r="I161">
        <v>40000</v>
      </c>
      <c r="J161">
        <v>0</v>
      </c>
      <c r="K161" t="s">
        <v>444</v>
      </c>
      <c r="L161">
        <v>27</v>
      </c>
      <c r="M161">
        <v>8</v>
      </c>
      <c r="N161">
        <v>5000</v>
      </c>
      <c r="O161">
        <v>27.13</v>
      </c>
      <c r="P161">
        <v>8</v>
      </c>
      <c r="Q161">
        <v>5000</v>
      </c>
      <c r="R161" t="s">
        <v>96</v>
      </c>
      <c r="S161" s="40">
        <v>46078</v>
      </c>
      <c r="T161">
        <v>37.557372000000001</v>
      </c>
      <c r="U161">
        <v>126.916798</v>
      </c>
      <c r="V161" t="s">
        <v>547</v>
      </c>
      <c r="W161" t="s">
        <v>548</v>
      </c>
      <c r="X161">
        <v>1</v>
      </c>
      <c r="Y161">
        <v>0</v>
      </c>
      <c r="Z161">
        <v>0</v>
      </c>
      <c r="AA161" t="s">
        <v>139</v>
      </c>
      <c r="AB161" t="s">
        <v>492</v>
      </c>
      <c r="AC161">
        <v>40000</v>
      </c>
      <c r="AD161">
        <v>0</v>
      </c>
      <c r="AE161" t="s">
        <v>101</v>
      </c>
      <c r="AF161" t="s">
        <v>102</v>
      </c>
      <c r="AG161" t="s">
        <v>103</v>
      </c>
      <c r="AH161">
        <v>767.06448863561582</v>
      </c>
      <c r="AI161" t="s">
        <v>47</v>
      </c>
      <c r="AJ161" t="s">
        <v>104</v>
      </c>
      <c r="AK161">
        <v>797.1523313902012</v>
      </c>
      <c r="AL161" t="s">
        <v>105</v>
      </c>
      <c r="AM161" s="41" t="s">
        <v>472</v>
      </c>
    </row>
    <row r="162" spans="1:45">
      <c r="A162">
        <v>2608072055</v>
      </c>
      <c r="B162">
        <v>1144012200</v>
      </c>
      <c r="C162" t="s">
        <v>93</v>
      </c>
      <c r="D162" t="s">
        <v>0</v>
      </c>
      <c r="E162" t="s">
        <v>94</v>
      </c>
      <c r="F162" t="s">
        <v>135</v>
      </c>
      <c r="G162">
        <v>1</v>
      </c>
      <c r="H162">
        <v>5</v>
      </c>
      <c r="I162">
        <v>110000</v>
      </c>
      <c r="J162">
        <v>0</v>
      </c>
      <c r="K162" t="s">
        <v>229</v>
      </c>
      <c r="L162">
        <v>96</v>
      </c>
      <c r="M162">
        <v>29</v>
      </c>
      <c r="N162">
        <v>3793</v>
      </c>
      <c r="O162">
        <v>81.55</v>
      </c>
      <c r="P162">
        <v>24</v>
      </c>
      <c r="Q162">
        <v>4583</v>
      </c>
      <c r="R162" t="s">
        <v>161</v>
      </c>
      <c r="S162" s="40">
        <v>46063</v>
      </c>
      <c r="T162">
        <v>37.549523000000001</v>
      </c>
      <c r="U162">
        <v>126.907415</v>
      </c>
      <c r="V162" t="s">
        <v>233</v>
      </c>
      <c r="W162" t="s">
        <v>195</v>
      </c>
      <c r="X162">
        <v>1</v>
      </c>
      <c r="Y162">
        <v>0</v>
      </c>
      <c r="Z162">
        <v>0</v>
      </c>
      <c r="AA162" t="s">
        <v>139</v>
      </c>
      <c r="AB162" t="s">
        <v>234</v>
      </c>
      <c r="AC162">
        <v>110000</v>
      </c>
      <c r="AD162">
        <v>0</v>
      </c>
      <c r="AE162" t="s">
        <v>101</v>
      </c>
      <c r="AF162" t="s">
        <v>115</v>
      </c>
      <c r="AG162" t="s">
        <v>116</v>
      </c>
      <c r="AH162">
        <v>643.63877654577186</v>
      </c>
      <c r="AI162" t="s">
        <v>47</v>
      </c>
      <c r="AJ162" t="s">
        <v>104</v>
      </c>
      <c r="AK162">
        <v>1238.5989522618229</v>
      </c>
      <c r="AL162" t="s">
        <v>105</v>
      </c>
      <c r="AM162" s="41" t="s">
        <v>232</v>
      </c>
      <c r="AN162">
        <f t="shared" ref="AN162:AN163" si="75">IFERROR(VALUE(LEFT($W162,FIND("년",$W162)-1)),"")</f>
        <v>4</v>
      </c>
      <c r="AO162" t="str">
        <f t="shared" ref="AO162:AO163" si="76">IFERROR(IF(FIND("년",$W162)=3,MID($W162,FIND("년",$W162)+1,FIND("년",$W162)-1),MID($W162,FIND("년",$W162)+1,FIND("년",$W162))),"")</f>
        <v>이내</v>
      </c>
      <c r="AP162">
        <f t="shared" ref="AP162:AP163" si="77">IFERROR(IF($AN162&lt;11,10,IF(AND($AN162&lt;26,$AO162="이내"),25,26)),"")</f>
        <v>10</v>
      </c>
      <c r="AQ162">
        <f t="shared" ref="AQ162:AQ163" si="78">IFERROR(IF($P162&lt;10,9,IF($P162&lt;20,10,IF($P162&lt;30,20,IF($P162&lt;40,30,40)))),"")</f>
        <v>20</v>
      </c>
      <c r="AR162" t="str">
        <f t="shared" ref="AR162:AR163" si="79">IFERROR(IF($D162="상가",IF($G162="1","1층",IF($G162="전체층","전체층",IF(LEFT($G162,1)="B","B1",IF($G162&lt;6,"저",IF($G162/$H162&lt;=$BC$9,"저",IF($G162/$H162&lt;=$BC$10,"중","고")))))),IF(LEFT($G162,1)="B","B1",IF($H162&lt;6,"저",IF($G162/$H162&lt;=$BC$2,"저",IF($G162/$H162&lt;=$BC$3,"중","고"))))),"")</f>
        <v>저</v>
      </c>
      <c r="AS162">
        <f>IFERROR(ACOS(SIN(RADIANS(거래사례!$S$11))*SIN(RADIANS($T162))+COS(RADIANS(거래사례!$S$11))*COS(RADIANS($T162))*COS(RADIANS($U162-거래사례!$P$11)))*6371000,"")</f>
        <v>2232.2482438871571</v>
      </c>
    </row>
    <row r="163" spans="1:45">
      <c r="A163">
        <v>2610679474</v>
      </c>
      <c r="B163">
        <v>1144012000</v>
      </c>
      <c r="C163" t="s">
        <v>93</v>
      </c>
      <c r="D163" t="s">
        <v>0</v>
      </c>
      <c r="E163" t="s">
        <v>94</v>
      </c>
      <c r="F163" t="s">
        <v>108</v>
      </c>
      <c r="G163">
        <v>2</v>
      </c>
      <c r="H163">
        <v>5</v>
      </c>
      <c r="I163">
        <v>120000</v>
      </c>
      <c r="J163">
        <v>0</v>
      </c>
      <c r="K163" t="s">
        <v>238</v>
      </c>
      <c r="L163">
        <v>96</v>
      </c>
      <c r="M163">
        <v>29</v>
      </c>
      <c r="N163">
        <v>4137</v>
      </c>
      <c r="O163">
        <v>87.78</v>
      </c>
      <c r="P163">
        <v>26</v>
      </c>
      <c r="Q163">
        <v>4615</v>
      </c>
      <c r="R163" t="s">
        <v>121</v>
      </c>
      <c r="S163" s="40">
        <v>46078</v>
      </c>
      <c r="T163">
        <v>37.549478999999998</v>
      </c>
      <c r="U163">
        <v>126.920306</v>
      </c>
      <c r="V163" t="s">
        <v>239</v>
      </c>
      <c r="W163" t="s">
        <v>240</v>
      </c>
      <c r="X163">
        <v>1</v>
      </c>
      <c r="Y163">
        <v>0</v>
      </c>
      <c r="Z163">
        <v>0</v>
      </c>
      <c r="AA163" t="s">
        <v>99</v>
      </c>
      <c r="AB163" t="s">
        <v>241</v>
      </c>
      <c r="AC163">
        <v>120000</v>
      </c>
      <c r="AD163">
        <v>0</v>
      </c>
      <c r="AE163" t="s">
        <v>101</v>
      </c>
      <c r="AF163" t="s">
        <v>242</v>
      </c>
      <c r="AG163" t="s">
        <v>103</v>
      </c>
      <c r="AH163">
        <v>339.1027826521273</v>
      </c>
      <c r="AI163" t="s">
        <v>47</v>
      </c>
      <c r="AJ163" t="s">
        <v>104</v>
      </c>
      <c r="AK163">
        <v>226.03037899304579</v>
      </c>
      <c r="AL163">
        <v>1</v>
      </c>
      <c r="AM163" s="41" t="s">
        <v>243</v>
      </c>
      <c r="AN163">
        <f t="shared" si="75"/>
        <v>25</v>
      </c>
      <c r="AO163" t="str">
        <f t="shared" si="76"/>
        <v>이내</v>
      </c>
      <c r="AP163">
        <f t="shared" si="77"/>
        <v>25</v>
      </c>
      <c r="AQ163">
        <f t="shared" si="78"/>
        <v>20</v>
      </c>
      <c r="AR163" t="str">
        <f t="shared" si="79"/>
        <v>저</v>
      </c>
      <c r="AS163">
        <f>IFERROR(ACOS(SIN(RADIANS(거래사례!$S$11))*SIN(RADIANS($T163))+COS(RADIANS(거래사례!$S$11))*COS(RADIANS($T163))*COS(RADIANS($U163-거래사례!$P$11)))*6371000,"")</f>
        <v>1388.3438428969539</v>
      </c>
    </row>
    <row r="164" spans="1:45" hidden="1">
      <c r="A164">
        <v>2611552775</v>
      </c>
      <c r="B164">
        <v>1144012000</v>
      </c>
      <c r="C164" t="s">
        <v>134</v>
      </c>
      <c r="D164" t="s">
        <v>0</v>
      </c>
      <c r="E164" t="s">
        <v>94</v>
      </c>
      <c r="F164" t="s">
        <v>108</v>
      </c>
      <c r="G164">
        <v>1</v>
      </c>
      <c r="H164">
        <v>2</v>
      </c>
      <c r="I164">
        <v>52000</v>
      </c>
      <c r="J164">
        <v>0</v>
      </c>
      <c r="K164" t="s">
        <v>273</v>
      </c>
      <c r="L164">
        <v>33</v>
      </c>
      <c r="M164">
        <v>9</v>
      </c>
      <c r="N164">
        <v>5777</v>
      </c>
      <c r="O164">
        <v>33.659999999999997</v>
      </c>
      <c r="P164">
        <v>10</v>
      </c>
      <c r="Q164">
        <v>5200</v>
      </c>
      <c r="R164" t="s">
        <v>161</v>
      </c>
      <c r="S164" s="40">
        <v>46084</v>
      </c>
      <c r="T164">
        <v>37.550941000000002</v>
      </c>
      <c r="U164">
        <v>126.913787</v>
      </c>
      <c r="V164" t="s">
        <v>274</v>
      </c>
      <c r="W164" t="s">
        <v>205</v>
      </c>
      <c r="X164">
        <v>1</v>
      </c>
      <c r="Y164">
        <v>0</v>
      </c>
      <c r="Z164">
        <v>0</v>
      </c>
      <c r="AA164" t="s">
        <v>139</v>
      </c>
      <c r="AB164" t="s">
        <v>206</v>
      </c>
      <c r="AC164">
        <v>52000</v>
      </c>
      <c r="AD164">
        <v>0</v>
      </c>
      <c r="AE164" t="s">
        <v>101</v>
      </c>
      <c r="AF164" t="s">
        <v>115</v>
      </c>
      <c r="AG164" t="s">
        <v>116</v>
      </c>
      <c r="AH164">
        <v>132.01770664783839</v>
      </c>
      <c r="AI164" t="s">
        <v>47</v>
      </c>
      <c r="AJ164" t="s">
        <v>104</v>
      </c>
      <c r="AK164">
        <v>528.48255152744889</v>
      </c>
      <c r="AL164">
        <v>1</v>
      </c>
      <c r="AM164" s="41" t="s">
        <v>178</v>
      </c>
    </row>
    <row r="165" spans="1:45">
      <c r="A165">
        <v>2608680124</v>
      </c>
      <c r="B165">
        <v>1144012000</v>
      </c>
      <c r="C165" t="s">
        <v>134</v>
      </c>
      <c r="D165" t="s">
        <v>0</v>
      </c>
      <c r="E165" t="s">
        <v>94</v>
      </c>
      <c r="F165" t="s">
        <v>244</v>
      </c>
      <c r="G165" t="s">
        <v>35</v>
      </c>
      <c r="H165">
        <v>2</v>
      </c>
      <c r="I165">
        <v>300000</v>
      </c>
      <c r="J165">
        <v>0</v>
      </c>
      <c r="K165" t="s">
        <v>245</v>
      </c>
      <c r="L165">
        <v>479</v>
      </c>
      <c r="M165">
        <v>144</v>
      </c>
      <c r="N165">
        <v>2083</v>
      </c>
      <c r="O165">
        <v>215.86</v>
      </c>
      <c r="P165">
        <v>65</v>
      </c>
      <c r="Q165">
        <v>4615</v>
      </c>
      <c r="R165" t="s">
        <v>96</v>
      </c>
      <c r="S165" s="40">
        <v>46066</v>
      </c>
      <c r="T165">
        <v>37.550941999999999</v>
      </c>
      <c r="U165">
        <v>126.913787</v>
      </c>
      <c r="V165" t="s">
        <v>246</v>
      </c>
      <c r="W165" t="s">
        <v>189</v>
      </c>
      <c r="X165">
        <v>1</v>
      </c>
      <c r="Y165">
        <v>0</v>
      </c>
      <c r="Z165">
        <v>0</v>
      </c>
      <c r="AA165" t="s">
        <v>247</v>
      </c>
      <c r="AB165" t="s">
        <v>248</v>
      </c>
      <c r="AC165">
        <v>300000</v>
      </c>
      <c r="AD165">
        <v>0</v>
      </c>
      <c r="AE165" t="s">
        <v>101</v>
      </c>
      <c r="AF165" t="s">
        <v>115</v>
      </c>
      <c r="AG165" t="s">
        <v>116</v>
      </c>
      <c r="AH165">
        <v>132.09524505029225</v>
      </c>
      <c r="AI165" t="s">
        <v>47</v>
      </c>
      <c r="AJ165" t="s">
        <v>104</v>
      </c>
      <c r="AK165">
        <v>528.49483569447079</v>
      </c>
      <c r="AL165">
        <v>1</v>
      </c>
      <c r="AM165" s="41" t="s">
        <v>178</v>
      </c>
      <c r="AN165">
        <f>IFERROR(VALUE(LEFT($W165,FIND("년",$W165)-1)),"")</f>
        <v>15</v>
      </c>
      <c r="AO165" t="str">
        <f>IFERROR(IF(FIND("년",$W165)=3,MID($W165,FIND("년",$W165)+1,FIND("년",$W165)-1),MID($W165,FIND("년",$W165)+1,FIND("년",$W165))),"")</f>
        <v>이내</v>
      </c>
      <c r="AP165">
        <f>IFERROR(IF($AN165&lt;11,10,IF(AND($AN165&lt;26,$AO165="이내"),25,26)),"")</f>
        <v>25</v>
      </c>
      <c r="AQ165">
        <f>IFERROR(IF($P165&lt;10,9,IF($P165&lt;20,10,IF($P165&lt;30,20,IF($P165&lt;40,30,40)))),"")</f>
        <v>40</v>
      </c>
      <c r="AR165" t="str">
        <f>IFERROR(IF($D165="상가",IF($G165="1","1층",IF($G165="전체층","전체층",IF(LEFT($G165,1)="B","B1",IF($G165&lt;6,"저",IF($G165/$H165&lt;=$BC$9,"저",IF($G165/$H165&lt;=$BC$10,"중","고")))))),IF(LEFT($G165,1)="B","B1",IF($H165&lt;6,"저",IF($G165/$H165&lt;=$BC$2,"저",IF($G165/$H165&lt;=$BC$3,"중","고"))))),"")</f>
        <v>B1</v>
      </c>
      <c r="AS165">
        <f>IFERROR(ACOS(SIN(RADIANS(거래사례!$S$11))*SIN(RADIANS($T165))+COS(RADIANS(거래사례!$S$11))*COS(RADIANS($T165))*COS(RADIANS($U165-거래사례!$P$11)))*6371000,"")</f>
        <v>1675.8614531849782</v>
      </c>
    </row>
    <row r="166" spans="1:45" hidden="1">
      <c r="A166">
        <v>2611405265</v>
      </c>
      <c r="B166">
        <v>1144012000</v>
      </c>
      <c r="C166" t="s">
        <v>134</v>
      </c>
      <c r="D166" t="s">
        <v>0</v>
      </c>
      <c r="E166" t="s">
        <v>94</v>
      </c>
      <c r="F166" t="s">
        <v>95</v>
      </c>
      <c r="G166">
        <v>1</v>
      </c>
      <c r="H166">
        <v>2</v>
      </c>
      <c r="I166">
        <v>100000</v>
      </c>
      <c r="J166">
        <v>0</v>
      </c>
      <c r="K166" t="s">
        <v>279</v>
      </c>
      <c r="L166">
        <v>141</v>
      </c>
      <c r="M166">
        <v>42</v>
      </c>
      <c r="N166">
        <v>2380</v>
      </c>
      <c r="O166">
        <v>63.6</v>
      </c>
      <c r="P166">
        <v>19</v>
      </c>
      <c r="Q166">
        <v>5263</v>
      </c>
      <c r="R166" t="s">
        <v>161</v>
      </c>
      <c r="S166" s="40">
        <v>46084</v>
      </c>
      <c r="T166">
        <v>37.550941000000002</v>
      </c>
      <c r="U166">
        <v>126.913787</v>
      </c>
      <c r="V166" t="s">
        <v>280</v>
      </c>
      <c r="W166" t="s">
        <v>281</v>
      </c>
      <c r="X166">
        <v>1</v>
      </c>
      <c r="Y166">
        <v>0</v>
      </c>
      <c r="Z166">
        <v>0</v>
      </c>
      <c r="AA166" t="s">
        <v>113</v>
      </c>
      <c r="AB166" t="s">
        <v>282</v>
      </c>
      <c r="AC166">
        <v>100000</v>
      </c>
      <c r="AD166">
        <v>0</v>
      </c>
      <c r="AE166" t="s">
        <v>101</v>
      </c>
      <c r="AF166" t="s">
        <v>115</v>
      </c>
      <c r="AG166" t="s">
        <v>116</v>
      </c>
      <c r="AH166">
        <v>132.01770664783839</v>
      </c>
      <c r="AI166" t="s">
        <v>47</v>
      </c>
      <c r="AJ166" t="s">
        <v>104</v>
      </c>
      <c r="AK166">
        <v>528.48255152744889</v>
      </c>
      <c r="AL166">
        <v>1</v>
      </c>
      <c r="AM166" s="41" t="s">
        <v>178</v>
      </c>
    </row>
    <row r="167" spans="1:45">
      <c r="A167">
        <v>2610679474</v>
      </c>
      <c r="B167">
        <v>1144012000</v>
      </c>
      <c r="C167" t="s">
        <v>93</v>
      </c>
      <c r="D167" t="s">
        <v>0</v>
      </c>
      <c r="E167" t="s">
        <v>94</v>
      </c>
      <c r="F167" t="s">
        <v>108</v>
      </c>
      <c r="G167">
        <v>2</v>
      </c>
      <c r="H167">
        <v>5</v>
      </c>
      <c r="I167">
        <v>120000</v>
      </c>
      <c r="J167">
        <v>0</v>
      </c>
      <c r="K167" t="s">
        <v>238</v>
      </c>
      <c r="L167">
        <v>96</v>
      </c>
      <c r="M167">
        <v>29</v>
      </c>
      <c r="N167">
        <v>4137</v>
      </c>
      <c r="O167">
        <v>87.78</v>
      </c>
      <c r="P167">
        <v>26</v>
      </c>
      <c r="Q167">
        <v>4615</v>
      </c>
      <c r="R167" t="s">
        <v>121</v>
      </c>
      <c r="S167" s="40">
        <v>46078</v>
      </c>
      <c r="T167">
        <v>37.549478999999998</v>
      </c>
      <c r="U167">
        <v>126.920306</v>
      </c>
      <c r="V167" t="s">
        <v>239</v>
      </c>
      <c r="W167" t="s">
        <v>240</v>
      </c>
      <c r="X167">
        <v>1</v>
      </c>
      <c r="Y167">
        <v>0</v>
      </c>
      <c r="Z167">
        <v>0</v>
      </c>
      <c r="AA167" t="s">
        <v>99</v>
      </c>
      <c r="AB167" t="s">
        <v>241</v>
      </c>
      <c r="AC167">
        <v>120000</v>
      </c>
      <c r="AD167">
        <v>0</v>
      </c>
      <c r="AE167" t="s">
        <v>101</v>
      </c>
      <c r="AF167" t="s">
        <v>242</v>
      </c>
      <c r="AG167" t="s">
        <v>103</v>
      </c>
      <c r="AH167">
        <v>339.1027826521273</v>
      </c>
      <c r="AI167" t="s">
        <v>47</v>
      </c>
      <c r="AJ167" t="s">
        <v>104</v>
      </c>
      <c r="AK167">
        <v>226.03037899304579</v>
      </c>
      <c r="AL167">
        <v>1</v>
      </c>
      <c r="AM167" s="41" t="s">
        <v>243</v>
      </c>
      <c r="AN167">
        <f t="shared" ref="AN167:AN169" si="80">IFERROR(VALUE(LEFT($W167,FIND("년",$W167)-1)),"")</f>
        <v>25</v>
      </c>
      <c r="AO167" t="str">
        <f t="shared" ref="AO167:AO169" si="81">IFERROR(IF(FIND("년",$W167)=3,MID($W167,FIND("년",$W167)+1,FIND("년",$W167)-1),MID($W167,FIND("년",$W167)+1,FIND("년",$W167))),"")</f>
        <v>이내</v>
      </c>
      <c r="AP167">
        <f t="shared" ref="AP167:AP169" si="82">IFERROR(IF($AN167&lt;11,10,IF(AND($AN167&lt;26,$AO167="이내"),25,26)),"")</f>
        <v>25</v>
      </c>
      <c r="AQ167">
        <f t="shared" ref="AQ167:AQ169" si="83">IFERROR(IF($P167&lt;10,9,IF($P167&lt;20,10,IF($P167&lt;30,20,IF($P167&lt;40,30,40)))),"")</f>
        <v>20</v>
      </c>
      <c r="AR167" t="str">
        <f t="shared" ref="AR167:AR169" si="84">IFERROR(IF($D167="상가",IF($G167="1","1층",IF($G167="전체층","전체층",IF(LEFT($G167,1)="B","B1",IF($G167&lt;6,"저",IF($G167/$H167&lt;=$BC$9,"저",IF($G167/$H167&lt;=$BC$10,"중","고")))))),IF(LEFT($G167,1)="B","B1",IF($H167&lt;6,"저",IF($G167/$H167&lt;=$BC$2,"저",IF($G167/$H167&lt;=$BC$3,"중","고"))))),"")</f>
        <v>저</v>
      </c>
      <c r="AS167">
        <f>IFERROR(ACOS(SIN(RADIANS(거래사례!$S$11))*SIN(RADIANS($T167))+COS(RADIANS(거래사례!$S$11))*COS(RADIANS($T167))*COS(RADIANS($U167-거래사례!$P$11)))*6371000,"")</f>
        <v>1388.3438428969539</v>
      </c>
    </row>
    <row r="168" spans="1:45">
      <c r="A168">
        <v>2608680124</v>
      </c>
      <c r="B168">
        <v>1144012000</v>
      </c>
      <c r="C168" t="s">
        <v>134</v>
      </c>
      <c r="D168" t="s">
        <v>0</v>
      </c>
      <c r="E168" t="s">
        <v>94</v>
      </c>
      <c r="F168" t="s">
        <v>244</v>
      </c>
      <c r="G168" t="s">
        <v>35</v>
      </c>
      <c r="H168">
        <v>2</v>
      </c>
      <c r="I168">
        <v>300000</v>
      </c>
      <c r="J168">
        <v>0</v>
      </c>
      <c r="K168" t="s">
        <v>245</v>
      </c>
      <c r="L168">
        <v>479</v>
      </c>
      <c r="M168">
        <v>144</v>
      </c>
      <c r="N168">
        <v>2083</v>
      </c>
      <c r="O168">
        <v>215.86</v>
      </c>
      <c r="P168">
        <v>65</v>
      </c>
      <c r="Q168">
        <v>4615</v>
      </c>
      <c r="R168" t="s">
        <v>96</v>
      </c>
      <c r="S168" s="40">
        <v>46066</v>
      </c>
      <c r="T168">
        <v>37.550941999999999</v>
      </c>
      <c r="U168">
        <v>126.913787</v>
      </c>
      <c r="V168" t="s">
        <v>246</v>
      </c>
      <c r="W168" t="s">
        <v>189</v>
      </c>
      <c r="X168">
        <v>1</v>
      </c>
      <c r="Y168">
        <v>0</v>
      </c>
      <c r="Z168">
        <v>0</v>
      </c>
      <c r="AA168" t="s">
        <v>247</v>
      </c>
      <c r="AB168" t="s">
        <v>248</v>
      </c>
      <c r="AC168">
        <v>300000</v>
      </c>
      <c r="AD168">
        <v>0</v>
      </c>
      <c r="AE168" t="s">
        <v>101</v>
      </c>
      <c r="AF168" t="s">
        <v>115</v>
      </c>
      <c r="AG168" t="s">
        <v>116</v>
      </c>
      <c r="AH168">
        <v>132.09524505029225</v>
      </c>
      <c r="AI168" t="s">
        <v>47</v>
      </c>
      <c r="AJ168" t="s">
        <v>104</v>
      </c>
      <c r="AK168">
        <v>528.49483569447079</v>
      </c>
      <c r="AL168">
        <v>1</v>
      </c>
      <c r="AM168" s="41" t="s">
        <v>178</v>
      </c>
      <c r="AN168">
        <f t="shared" si="80"/>
        <v>15</v>
      </c>
      <c r="AO168" t="str">
        <f t="shared" si="81"/>
        <v>이내</v>
      </c>
      <c r="AP168">
        <f t="shared" si="82"/>
        <v>25</v>
      </c>
      <c r="AQ168">
        <f t="shared" si="83"/>
        <v>40</v>
      </c>
      <c r="AR168" t="str">
        <f t="shared" si="84"/>
        <v>B1</v>
      </c>
      <c r="AS168">
        <f>IFERROR(ACOS(SIN(RADIANS(거래사례!$S$11))*SIN(RADIANS($T168))+COS(RADIANS(거래사례!$S$11))*COS(RADIANS($T168))*COS(RADIANS($U168-거래사례!$P$11)))*6371000,"")</f>
        <v>1675.8614531849782</v>
      </c>
    </row>
    <row r="169" spans="1:45">
      <c r="A169">
        <v>2610679474</v>
      </c>
      <c r="B169">
        <v>1144012000</v>
      </c>
      <c r="C169" t="s">
        <v>93</v>
      </c>
      <c r="D169" t="s">
        <v>0</v>
      </c>
      <c r="E169" t="s">
        <v>94</v>
      </c>
      <c r="F169" t="s">
        <v>108</v>
      </c>
      <c r="G169">
        <v>2</v>
      </c>
      <c r="H169">
        <v>5</v>
      </c>
      <c r="I169">
        <v>120000</v>
      </c>
      <c r="J169">
        <v>0</v>
      </c>
      <c r="K169" t="s">
        <v>238</v>
      </c>
      <c r="L169">
        <v>96</v>
      </c>
      <c r="M169">
        <v>29</v>
      </c>
      <c r="N169">
        <v>4137</v>
      </c>
      <c r="O169">
        <v>87.78</v>
      </c>
      <c r="P169">
        <v>26</v>
      </c>
      <c r="Q169">
        <v>4615</v>
      </c>
      <c r="R169" t="s">
        <v>121</v>
      </c>
      <c r="S169" s="40">
        <v>46078</v>
      </c>
      <c r="T169">
        <v>37.549478999999998</v>
      </c>
      <c r="U169">
        <v>126.920306</v>
      </c>
      <c r="V169" t="s">
        <v>239</v>
      </c>
      <c r="W169" t="s">
        <v>240</v>
      </c>
      <c r="X169">
        <v>1</v>
      </c>
      <c r="Y169">
        <v>0</v>
      </c>
      <c r="Z169">
        <v>0</v>
      </c>
      <c r="AA169" t="s">
        <v>99</v>
      </c>
      <c r="AB169" t="s">
        <v>241</v>
      </c>
      <c r="AC169">
        <v>120000</v>
      </c>
      <c r="AD169">
        <v>0</v>
      </c>
      <c r="AE169" t="s">
        <v>101</v>
      </c>
      <c r="AF169" t="s">
        <v>242</v>
      </c>
      <c r="AG169" t="s">
        <v>103</v>
      </c>
      <c r="AH169">
        <v>339.1027826521273</v>
      </c>
      <c r="AI169" t="s">
        <v>47</v>
      </c>
      <c r="AJ169" t="s">
        <v>104</v>
      </c>
      <c r="AK169">
        <v>226.03037899304579</v>
      </c>
      <c r="AL169">
        <v>1</v>
      </c>
      <c r="AM169" s="41" t="s">
        <v>243</v>
      </c>
      <c r="AN169">
        <f t="shared" si="80"/>
        <v>25</v>
      </c>
      <c r="AO169" t="str">
        <f t="shared" si="81"/>
        <v>이내</v>
      </c>
      <c r="AP169">
        <f t="shared" si="82"/>
        <v>25</v>
      </c>
      <c r="AQ169">
        <f t="shared" si="83"/>
        <v>20</v>
      </c>
      <c r="AR169" t="str">
        <f t="shared" si="84"/>
        <v>저</v>
      </c>
      <c r="AS169">
        <f>IFERROR(ACOS(SIN(RADIANS(거래사례!$S$11))*SIN(RADIANS($T169))+COS(RADIANS(거래사례!$S$11))*COS(RADIANS($T169))*COS(RADIANS($U169-거래사례!$P$11)))*6371000,"")</f>
        <v>1388.3438428969539</v>
      </c>
    </row>
    <row r="170" spans="1:45" hidden="1">
      <c r="A170">
        <v>2611049992</v>
      </c>
      <c r="B170">
        <v>1144012000</v>
      </c>
      <c r="C170" t="s">
        <v>93</v>
      </c>
      <c r="D170" t="s">
        <v>0</v>
      </c>
      <c r="E170" t="s">
        <v>94</v>
      </c>
      <c r="F170" t="s">
        <v>296</v>
      </c>
      <c r="G170">
        <v>1</v>
      </c>
      <c r="H170">
        <v>5</v>
      </c>
      <c r="I170">
        <v>65000</v>
      </c>
      <c r="J170">
        <v>0</v>
      </c>
      <c r="K170" t="s">
        <v>297</v>
      </c>
      <c r="L170">
        <v>42</v>
      </c>
      <c r="M170">
        <v>12</v>
      </c>
      <c r="N170">
        <v>5416</v>
      </c>
      <c r="O170">
        <v>42.54</v>
      </c>
      <c r="P170">
        <v>12</v>
      </c>
      <c r="Q170">
        <v>5417</v>
      </c>
      <c r="R170" t="s">
        <v>154</v>
      </c>
      <c r="S170" s="40">
        <v>46080</v>
      </c>
      <c r="T170">
        <v>37.553722999999998</v>
      </c>
      <c r="U170">
        <v>126.91492100000001</v>
      </c>
      <c r="W170" t="s">
        <v>298</v>
      </c>
      <c r="X170">
        <v>1</v>
      </c>
      <c r="Y170">
        <v>0</v>
      </c>
      <c r="Z170">
        <v>0</v>
      </c>
      <c r="AA170" t="s">
        <v>299</v>
      </c>
      <c r="AB170" t="s">
        <v>300</v>
      </c>
      <c r="AC170">
        <v>65000</v>
      </c>
      <c r="AD170">
        <v>0</v>
      </c>
      <c r="AE170" t="s">
        <v>101</v>
      </c>
      <c r="AF170" t="s">
        <v>115</v>
      </c>
      <c r="AG170" t="s">
        <v>116</v>
      </c>
      <c r="AH170">
        <v>402.84981129818027</v>
      </c>
      <c r="AI170" t="s">
        <v>47</v>
      </c>
      <c r="AJ170" t="s">
        <v>104</v>
      </c>
      <c r="AK170">
        <v>542.78084193298719</v>
      </c>
      <c r="AL170">
        <v>1</v>
      </c>
      <c r="AM170" s="41" t="s">
        <v>301</v>
      </c>
    </row>
    <row r="171" spans="1:45">
      <c r="A171">
        <v>2610679474</v>
      </c>
      <c r="B171">
        <v>1144012000</v>
      </c>
      <c r="C171" t="s">
        <v>93</v>
      </c>
      <c r="D171" t="s">
        <v>0</v>
      </c>
      <c r="E171" t="s">
        <v>94</v>
      </c>
      <c r="F171" t="s">
        <v>108</v>
      </c>
      <c r="G171">
        <v>2</v>
      </c>
      <c r="H171">
        <v>5</v>
      </c>
      <c r="I171">
        <v>120000</v>
      </c>
      <c r="J171">
        <v>0</v>
      </c>
      <c r="K171" t="s">
        <v>238</v>
      </c>
      <c r="L171">
        <v>96</v>
      </c>
      <c r="M171">
        <v>29</v>
      </c>
      <c r="N171">
        <v>4137</v>
      </c>
      <c r="O171">
        <v>87.78</v>
      </c>
      <c r="P171">
        <v>26</v>
      </c>
      <c r="Q171">
        <v>4615</v>
      </c>
      <c r="R171" t="s">
        <v>121</v>
      </c>
      <c r="S171" s="40">
        <v>46078</v>
      </c>
      <c r="T171">
        <v>37.549478999999998</v>
      </c>
      <c r="U171">
        <v>126.920306</v>
      </c>
      <c r="V171" t="s">
        <v>239</v>
      </c>
      <c r="W171" t="s">
        <v>240</v>
      </c>
      <c r="X171">
        <v>1</v>
      </c>
      <c r="Y171">
        <v>0</v>
      </c>
      <c r="Z171">
        <v>0</v>
      </c>
      <c r="AA171" t="s">
        <v>99</v>
      </c>
      <c r="AB171" t="s">
        <v>241</v>
      </c>
      <c r="AC171">
        <v>120000</v>
      </c>
      <c r="AD171">
        <v>0</v>
      </c>
      <c r="AE171" t="s">
        <v>101</v>
      </c>
      <c r="AF171" t="s">
        <v>242</v>
      </c>
      <c r="AG171" t="s">
        <v>103</v>
      </c>
      <c r="AH171">
        <v>339.1027826521273</v>
      </c>
      <c r="AI171" t="s">
        <v>47</v>
      </c>
      <c r="AJ171" t="s">
        <v>104</v>
      </c>
      <c r="AK171">
        <v>226.03037899304579</v>
      </c>
      <c r="AL171">
        <v>1</v>
      </c>
      <c r="AM171" s="41" t="s">
        <v>243</v>
      </c>
      <c r="AN171">
        <f t="shared" ref="AN171:AN172" si="85">IFERROR(VALUE(LEFT($W171,FIND("년",$W171)-1)),"")</f>
        <v>25</v>
      </c>
      <c r="AO171" t="str">
        <f t="shared" ref="AO171:AO172" si="86">IFERROR(IF(FIND("년",$W171)=3,MID($W171,FIND("년",$W171)+1,FIND("년",$W171)-1),MID($W171,FIND("년",$W171)+1,FIND("년",$W171))),"")</f>
        <v>이내</v>
      </c>
      <c r="AP171">
        <f t="shared" ref="AP171:AP172" si="87">IFERROR(IF($AN171&lt;11,10,IF(AND($AN171&lt;26,$AO171="이내"),25,26)),"")</f>
        <v>25</v>
      </c>
      <c r="AQ171">
        <f t="shared" ref="AQ171:AQ172" si="88">IFERROR(IF($P171&lt;10,9,IF($P171&lt;20,10,IF($P171&lt;30,20,IF($P171&lt;40,30,40)))),"")</f>
        <v>20</v>
      </c>
      <c r="AR171" t="str">
        <f t="shared" ref="AR171:AR172" si="89">IFERROR(IF($D171="상가",IF($G171="1","1층",IF($G171="전체층","전체층",IF(LEFT($G171,1)="B","B1",IF($G171&lt;6,"저",IF($G171/$H171&lt;=$BC$9,"저",IF($G171/$H171&lt;=$BC$10,"중","고")))))),IF(LEFT($G171,1)="B","B1",IF($H171&lt;6,"저",IF($G171/$H171&lt;=$BC$2,"저",IF($G171/$H171&lt;=$BC$3,"중","고"))))),"")</f>
        <v>저</v>
      </c>
      <c r="AS171">
        <f>IFERROR(ACOS(SIN(RADIANS(거래사례!$S$11))*SIN(RADIANS($T171))+COS(RADIANS(거래사례!$S$11))*COS(RADIANS($T171))*COS(RADIANS($U171-거래사례!$P$11)))*6371000,"")</f>
        <v>1388.3438428969539</v>
      </c>
    </row>
    <row r="172" spans="1:45">
      <c r="A172">
        <v>2607813495</v>
      </c>
      <c r="B172">
        <v>1144011500</v>
      </c>
      <c r="C172" t="s">
        <v>93</v>
      </c>
      <c r="D172" t="s">
        <v>0</v>
      </c>
      <c r="E172" t="s">
        <v>94</v>
      </c>
      <c r="F172" t="s">
        <v>95</v>
      </c>
      <c r="G172" t="s">
        <v>35</v>
      </c>
      <c r="H172">
        <v>2</v>
      </c>
      <c r="I172">
        <v>350000</v>
      </c>
      <c r="J172">
        <v>0</v>
      </c>
      <c r="K172" t="s">
        <v>252</v>
      </c>
      <c r="L172">
        <v>243</v>
      </c>
      <c r="M172">
        <v>73</v>
      </c>
      <c r="N172">
        <v>4794</v>
      </c>
      <c r="O172">
        <v>243.38</v>
      </c>
      <c r="P172">
        <v>73</v>
      </c>
      <c r="Q172">
        <v>4795</v>
      </c>
      <c r="R172" t="s">
        <v>154</v>
      </c>
      <c r="S172" s="40">
        <v>46062</v>
      </c>
      <c r="T172">
        <v>37.548274999999997</v>
      </c>
      <c r="U172">
        <v>126.92235100000001</v>
      </c>
      <c r="V172" t="s">
        <v>253</v>
      </c>
      <c r="W172" t="s">
        <v>254</v>
      </c>
      <c r="X172">
        <v>1</v>
      </c>
      <c r="Y172">
        <v>0</v>
      </c>
      <c r="Z172">
        <v>0</v>
      </c>
      <c r="AA172" t="s">
        <v>139</v>
      </c>
      <c r="AB172" t="s">
        <v>255</v>
      </c>
      <c r="AC172">
        <v>350000</v>
      </c>
      <c r="AD172">
        <v>0</v>
      </c>
      <c r="AE172" t="s">
        <v>101</v>
      </c>
      <c r="AF172" t="s">
        <v>242</v>
      </c>
      <c r="AG172" t="s">
        <v>103</v>
      </c>
      <c r="AH172">
        <v>74.937618758507597</v>
      </c>
      <c r="AI172" t="s">
        <v>47</v>
      </c>
      <c r="AJ172" t="s">
        <v>104</v>
      </c>
      <c r="AK172">
        <v>490.04162679525513</v>
      </c>
      <c r="AL172">
        <v>1</v>
      </c>
      <c r="AM172" s="41" t="s">
        <v>256</v>
      </c>
      <c r="AN172">
        <f t="shared" si="85"/>
        <v>25</v>
      </c>
      <c r="AO172" t="str">
        <f t="shared" si="86"/>
        <v>이상</v>
      </c>
      <c r="AP172">
        <f t="shared" si="87"/>
        <v>26</v>
      </c>
      <c r="AQ172">
        <f t="shared" si="88"/>
        <v>40</v>
      </c>
      <c r="AR172" t="str">
        <f t="shared" si="89"/>
        <v>B1</v>
      </c>
      <c r="AS172">
        <f>IFERROR(ACOS(SIN(RADIANS(거래사례!$S$11))*SIN(RADIANS($T172))+COS(RADIANS(거래사례!$S$11))*COS(RADIANS($T172))*COS(RADIANS($U172-거래사례!$P$11)))*6371000,"")</f>
        <v>1415.4909783200042</v>
      </c>
    </row>
    <row r="173" spans="1:45" hidden="1">
      <c r="A173">
        <v>2610173593</v>
      </c>
      <c r="B173">
        <v>1144012200</v>
      </c>
      <c r="C173" t="s">
        <v>134</v>
      </c>
      <c r="D173" t="s">
        <v>0</v>
      </c>
      <c r="E173" t="s">
        <v>94</v>
      </c>
      <c r="F173" t="s">
        <v>135</v>
      </c>
      <c r="G173">
        <v>1</v>
      </c>
      <c r="H173">
        <v>36</v>
      </c>
      <c r="I173">
        <v>85000</v>
      </c>
      <c r="J173">
        <v>0</v>
      </c>
      <c r="K173" t="s">
        <v>304</v>
      </c>
      <c r="L173">
        <v>153</v>
      </c>
      <c r="M173">
        <v>46</v>
      </c>
      <c r="N173">
        <v>1847</v>
      </c>
      <c r="O173">
        <v>51.05</v>
      </c>
      <c r="P173">
        <v>15</v>
      </c>
      <c r="Q173">
        <v>5667</v>
      </c>
      <c r="R173" t="s">
        <v>154</v>
      </c>
      <c r="S173" s="40">
        <v>46076</v>
      </c>
      <c r="T173">
        <v>37.551057</v>
      </c>
      <c r="U173">
        <v>126.911867</v>
      </c>
      <c r="V173" t="s">
        <v>305</v>
      </c>
      <c r="W173" t="s">
        <v>259</v>
      </c>
      <c r="X173">
        <v>1</v>
      </c>
      <c r="Y173">
        <v>0</v>
      </c>
      <c r="Z173">
        <v>0</v>
      </c>
      <c r="AA173" t="s">
        <v>139</v>
      </c>
      <c r="AB173" t="s">
        <v>140</v>
      </c>
      <c r="AC173">
        <v>85000</v>
      </c>
      <c r="AD173">
        <v>0</v>
      </c>
      <c r="AE173" t="s">
        <v>101</v>
      </c>
      <c r="AF173" t="s">
        <v>115</v>
      </c>
      <c r="AG173" t="s">
        <v>116</v>
      </c>
      <c r="AH173">
        <v>248.53865605694642</v>
      </c>
      <c r="AI173" t="s">
        <v>47</v>
      </c>
      <c r="AJ173" t="s">
        <v>104</v>
      </c>
      <c r="AK173">
        <v>742.41426284908061</v>
      </c>
      <c r="AL173" t="s">
        <v>105</v>
      </c>
      <c r="AM173" s="41" t="s">
        <v>150</v>
      </c>
    </row>
    <row r="174" spans="1:45" hidden="1">
      <c r="A174">
        <v>2610774942</v>
      </c>
      <c r="B174">
        <v>1144011100</v>
      </c>
      <c r="C174" t="s">
        <v>134</v>
      </c>
      <c r="D174" t="s">
        <v>0</v>
      </c>
      <c r="E174" t="s">
        <v>94</v>
      </c>
      <c r="F174" t="s">
        <v>135</v>
      </c>
      <c r="G174">
        <v>1</v>
      </c>
      <c r="H174">
        <v>1</v>
      </c>
      <c r="I174">
        <v>40000</v>
      </c>
      <c r="J174">
        <v>0</v>
      </c>
      <c r="K174" t="s">
        <v>444</v>
      </c>
      <c r="L174">
        <v>31</v>
      </c>
      <c r="M174">
        <v>9</v>
      </c>
      <c r="N174">
        <v>4444</v>
      </c>
      <c r="O174">
        <v>26.4</v>
      </c>
      <c r="P174">
        <v>7</v>
      </c>
      <c r="Q174">
        <v>5714</v>
      </c>
      <c r="R174" t="s">
        <v>136</v>
      </c>
      <c r="S174" s="40">
        <v>46079</v>
      </c>
      <c r="T174">
        <v>37.548093999999999</v>
      </c>
      <c r="U174">
        <v>126.93366399999999</v>
      </c>
      <c r="V174" t="s">
        <v>550</v>
      </c>
      <c r="W174" t="s">
        <v>551</v>
      </c>
      <c r="X174">
        <v>2</v>
      </c>
      <c r="Y174" t="s">
        <v>444</v>
      </c>
      <c r="Z174" t="s">
        <v>444</v>
      </c>
      <c r="AA174" t="s">
        <v>99</v>
      </c>
      <c r="AB174" t="s">
        <v>552</v>
      </c>
      <c r="AC174">
        <v>40000</v>
      </c>
      <c r="AD174">
        <v>0</v>
      </c>
      <c r="AE174" t="s">
        <v>101</v>
      </c>
      <c r="AF174" t="s">
        <v>481</v>
      </c>
      <c r="AG174" t="s">
        <v>103</v>
      </c>
      <c r="AH174">
        <v>151.63225483660281</v>
      </c>
      <c r="AI174" t="s">
        <v>47</v>
      </c>
      <c r="AJ174" t="s">
        <v>104</v>
      </c>
      <c r="AK174">
        <v>1550.1333342176281</v>
      </c>
      <c r="AL174" t="s">
        <v>105</v>
      </c>
      <c r="AM174" s="41" t="s">
        <v>553</v>
      </c>
    </row>
    <row r="175" spans="1:45" hidden="1">
      <c r="A175">
        <v>2608936042</v>
      </c>
      <c r="B175">
        <v>1144011100</v>
      </c>
      <c r="C175" t="s">
        <v>134</v>
      </c>
      <c r="D175" t="s">
        <v>0</v>
      </c>
      <c r="E175" t="s">
        <v>94</v>
      </c>
      <c r="F175" t="s">
        <v>95</v>
      </c>
      <c r="G175">
        <v>1</v>
      </c>
      <c r="H175">
        <v>1</v>
      </c>
      <c r="I175">
        <v>40000</v>
      </c>
      <c r="J175">
        <v>0</v>
      </c>
      <c r="K175" t="s">
        <v>444</v>
      </c>
      <c r="L175">
        <v>31</v>
      </c>
      <c r="M175">
        <v>9</v>
      </c>
      <c r="N175">
        <v>4444</v>
      </c>
      <c r="O175">
        <v>26.4</v>
      </c>
      <c r="P175">
        <v>7</v>
      </c>
      <c r="Q175">
        <v>5714</v>
      </c>
      <c r="R175" t="s">
        <v>208</v>
      </c>
      <c r="S175" s="40">
        <v>46067</v>
      </c>
      <c r="T175">
        <v>37.548093999999999</v>
      </c>
      <c r="U175">
        <v>126.93366399999999</v>
      </c>
      <c r="V175" t="s">
        <v>554</v>
      </c>
      <c r="W175" t="s">
        <v>555</v>
      </c>
      <c r="X175">
        <v>1</v>
      </c>
      <c r="Y175">
        <v>0</v>
      </c>
      <c r="Z175">
        <v>0</v>
      </c>
      <c r="AA175" t="s">
        <v>139</v>
      </c>
      <c r="AB175" t="s">
        <v>538</v>
      </c>
      <c r="AC175">
        <v>40000</v>
      </c>
      <c r="AD175">
        <v>0</v>
      </c>
      <c r="AE175" t="s">
        <v>101</v>
      </c>
      <c r="AF175" t="s">
        <v>481</v>
      </c>
      <c r="AG175" t="s">
        <v>103</v>
      </c>
      <c r="AH175">
        <v>151.63225483660281</v>
      </c>
      <c r="AI175" t="s">
        <v>47</v>
      </c>
      <c r="AJ175" t="s">
        <v>104</v>
      </c>
      <c r="AK175">
        <v>1550.1333342176281</v>
      </c>
      <c r="AL175" t="s">
        <v>105</v>
      </c>
      <c r="AM175" s="41" t="s">
        <v>553</v>
      </c>
    </row>
    <row r="176" spans="1:45" hidden="1">
      <c r="A176">
        <v>2609272288</v>
      </c>
      <c r="B176">
        <v>1144012200</v>
      </c>
      <c r="C176" t="s">
        <v>134</v>
      </c>
      <c r="D176" t="s">
        <v>0</v>
      </c>
      <c r="E176" t="s">
        <v>94</v>
      </c>
      <c r="F176" t="s">
        <v>95</v>
      </c>
      <c r="G176">
        <v>1</v>
      </c>
      <c r="H176">
        <v>36</v>
      </c>
      <c r="I176">
        <v>52000</v>
      </c>
      <c r="J176">
        <v>0</v>
      </c>
      <c r="K176" t="s">
        <v>273</v>
      </c>
      <c r="L176">
        <v>90</v>
      </c>
      <c r="M176">
        <v>27</v>
      </c>
      <c r="N176">
        <v>1925</v>
      </c>
      <c r="O176">
        <v>30.14</v>
      </c>
      <c r="P176">
        <v>9</v>
      </c>
      <c r="Q176">
        <v>5778</v>
      </c>
      <c r="S176" s="40">
        <v>46072</v>
      </c>
      <c r="T176">
        <v>37.551057</v>
      </c>
      <c r="U176">
        <v>126.911867</v>
      </c>
      <c r="V176" t="s">
        <v>306</v>
      </c>
      <c r="W176" t="s">
        <v>307</v>
      </c>
      <c r="X176">
        <v>1</v>
      </c>
      <c r="Y176">
        <v>0</v>
      </c>
      <c r="Z176">
        <v>0</v>
      </c>
      <c r="AA176" t="s">
        <v>113</v>
      </c>
      <c r="AB176" t="s">
        <v>308</v>
      </c>
      <c r="AC176">
        <v>52000</v>
      </c>
      <c r="AD176">
        <v>0</v>
      </c>
      <c r="AE176" t="s">
        <v>101</v>
      </c>
      <c r="AF176" t="s">
        <v>115</v>
      </c>
      <c r="AG176" t="s">
        <v>116</v>
      </c>
      <c r="AH176">
        <v>248.53865605694642</v>
      </c>
      <c r="AI176" t="s">
        <v>47</v>
      </c>
      <c r="AJ176" t="s">
        <v>104</v>
      </c>
      <c r="AK176">
        <v>742.41426284908061</v>
      </c>
      <c r="AL176" t="s">
        <v>105</v>
      </c>
      <c r="AM176" s="41" t="s">
        <v>150</v>
      </c>
    </row>
    <row r="177" spans="1:45">
      <c r="A177">
        <v>2607813495</v>
      </c>
      <c r="B177">
        <v>1144011500</v>
      </c>
      <c r="C177" t="s">
        <v>93</v>
      </c>
      <c r="D177" t="s">
        <v>0</v>
      </c>
      <c r="E177" t="s">
        <v>94</v>
      </c>
      <c r="F177" t="s">
        <v>95</v>
      </c>
      <c r="G177" t="s">
        <v>35</v>
      </c>
      <c r="H177">
        <v>2</v>
      </c>
      <c r="I177">
        <v>350000</v>
      </c>
      <c r="J177">
        <v>0</v>
      </c>
      <c r="K177" t="s">
        <v>252</v>
      </c>
      <c r="L177">
        <v>243</v>
      </c>
      <c r="M177">
        <v>73</v>
      </c>
      <c r="N177">
        <v>4794</v>
      </c>
      <c r="O177">
        <v>243.38</v>
      </c>
      <c r="P177">
        <v>73</v>
      </c>
      <c r="Q177">
        <v>4795</v>
      </c>
      <c r="R177" t="s">
        <v>154</v>
      </c>
      <c r="S177" s="40">
        <v>46062</v>
      </c>
      <c r="T177">
        <v>37.548274999999997</v>
      </c>
      <c r="U177">
        <v>126.92235100000001</v>
      </c>
      <c r="V177" t="s">
        <v>253</v>
      </c>
      <c r="W177" t="s">
        <v>254</v>
      </c>
      <c r="X177">
        <v>1</v>
      </c>
      <c r="Y177">
        <v>0</v>
      </c>
      <c r="Z177">
        <v>0</v>
      </c>
      <c r="AA177" t="s">
        <v>139</v>
      </c>
      <c r="AB177" t="s">
        <v>255</v>
      </c>
      <c r="AC177">
        <v>350000</v>
      </c>
      <c r="AD177">
        <v>0</v>
      </c>
      <c r="AE177" t="s">
        <v>101</v>
      </c>
      <c r="AF177" t="s">
        <v>242</v>
      </c>
      <c r="AG177" t="s">
        <v>103</v>
      </c>
      <c r="AH177">
        <v>74.937618758507597</v>
      </c>
      <c r="AI177" t="s">
        <v>47</v>
      </c>
      <c r="AJ177" t="s">
        <v>104</v>
      </c>
      <c r="AK177">
        <v>490.04162679525513</v>
      </c>
      <c r="AL177">
        <v>1</v>
      </c>
      <c r="AM177" s="41" t="s">
        <v>256</v>
      </c>
      <c r="AN177">
        <f t="shared" ref="AN177:AN180" si="90">IFERROR(VALUE(LEFT($W177,FIND("년",$W177)-1)),"")</f>
        <v>25</v>
      </c>
      <c r="AO177" t="str">
        <f t="shared" ref="AO177:AO180" si="91">IFERROR(IF(FIND("년",$W177)=3,MID($W177,FIND("년",$W177)+1,FIND("년",$W177)-1),MID($W177,FIND("년",$W177)+1,FIND("년",$W177))),"")</f>
        <v>이상</v>
      </c>
      <c r="AP177">
        <f t="shared" ref="AP177:AP180" si="92">IFERROR(IF($AN177&lt;11,10,IF(AND($AN177&lt;26,$AO177="이내"),25,26)),"")</f>
        <v>26</v>
      </c>
      <c r="AQ177">
        <f t="shared" ref="AQ177:AQ180" si="93">IFERROR(IF($P177&lt;10,9,IF($P177&lt;20,10,IF($P177&lt;30,20,IF($P177&lt;40,30,40)))),"")</f>
        <v>40</v>
      </c>
      <c r="AR177" t="str">
        <f t="shared" ref="AR177:AR180" si="94">IFERROR(IF($D177="상가",IF($G177="1","1층",IF($G177="전체층","전체층",IF(LEFT($G177,1)="B","B1",IF($G177&lt;6,"저",IF($G177/$H177&lt;=$BC$9,"저",IF($G177/$H177&lt;=$BC$10,"중","고")))))),IF(LEFT($G177,1)="B","B1",IF($H177&lt;6,"저",IF($G177/$H177&lt;=$BC$2,"저",IF($G177/$H177&lt;=$BC$3,"중","고"))))),"")</f>
        <v>B1</v>
      </c>
      <c r="AS177">
        <f>IFERROR(ACOS(SIN(RADIANS(거래사례!$S$11))*SIN(RADIANS($T177))+COS(RADIANS(거래사례!$S$11))*COS(RADIANS($T177))*COS(RADIANS($U177-거래사례!$P$11)))*6371000,"")</f>
        <v>1415.4909783200042</v>
      </c>
    </row>
    <row r="178" spans="1:45">
      <c r="A178">
        <v>2607813495</v>
      </c>
      <c r="B178">
        <v>1144011500</v>
      </c>
      <c r="C178" t="s">
        <v>93</v>
      </c>
      <c r="D178" t="s">
        <v>0</v>
      </c>
      <c r="E178" t="s">
        <v>94</v>
      </c>
      <c r="F178" t="s">
        <v>95</v>
      </c>
      <c r="G178" t="s">
        <v>35</v>
      </c>
      <c r="H178">
        <v>2</v>
      </c>
      <c r="I178">
        <v>350000</v>
      </c>
      <c r="J178">
        <v>0</v>
      </c>
      <c r="K178" t="s">
        <v>252</v>
      </c>
      <c r="L178">
        <v>243</v>
      </c>
      <c r="M178">
        <v>73</v>
      </c>
      <c r="N178">
        <v>4794</v>
      </c>
      <c r="O178">
        <v>243.38</v>
      </c>
      <c r="P178">
        <v>73</v>
      </c>
      <c r="Q178">
        <v>4795</v>
      </c>
      <c r="R178" t="s">
        <v>154</v>
      </c>
      <c r="S178" s="40">
        <v>46062</v>
      </c>
      <c r="T178">
        <v>37.548274999999997</v>
      </c>
      <c r="U178">
        <v>126.92235100000001</v>
      </c>
      <c r="V178" t="s">
        <v>253</v>
      </c>
      <c r="W178" t="s">
        <v>254</v>
      </c>
      <c r="X178">
        <v>1</v>
      </c>
      <c r="Y178">
        <v>0</v>
      </c>
      <c r="Z178">
        <v>0</v>
      </c>
      <c r="AA178" t="s">
        <v>139</v>
      </c>
      <c r="AB178" t="s">
        <v>255</v>
      </c>
      <c r="AC178">
        <v>350000</v>
      </c>
      <c r="AD178">
        <v>0</v>
      </c>
      <c r="AE178" t="s">
        <v>101</v>
      </c>
      <c r="AF178" t="s">
        <v>242</v>
      </c>
      <c r="AG178" t="s">
        <v>103</v>
      </c>
      <c r="AH178">
        <v>74.937618758507597</v>
      </c>
      <c r="AI178" t="s">
        <v>47</v>
      </c>
      <c r="AJ178" t="s">
        <v>104</v>
      </c>
      <c r="AK178">
        <v>490.04162679525513</v>
      </c>
      <c r="AL178">
        <v>1</v>
      </c>
      <c r="AM178" s="41" t="s">
        <v>256</v>
      </c>
      <c r="AN178">
        <f t="shared" si="90"/>
        <v>25</v>
      </c>
      <c r="AO178" t="str">
        <f t="shared" si="91"/>
        <v>이상</v>
      </c>
      <c r="AP178">
        <f t="shared" si="92"/>
        <v>26</v>
      </c>
      <c r="AQ178">
        <f t="shared" si="93"/>
        <v>40</v>
      </c>
      <c r="AR178" t="str">
        <f t="shared" si="94"/>
        <v>B1</v>
      </c>
      <c r="AS178">
        <f>IFERROR(ACOS(SIN(RADIANS(거래사례!$S$11))*SIN(RADIANS($T178))+COS(RADIANS(거래사례!$S$11))*COS(RADIANS($T178))*COS(RADIANS($U178-거래사례!$P$11)))*6371000,"")</f>
        <v>1415.4909783200042</v>
      </c>
    </row>
    <row r="179" spans="1:45">
      <c r="A179">
        <v>2607813495</v>
      </c>
      <c r="B179">
        <v>1144011500</v>
      </c>
      <c r="C179" t="s">
        <v>93</v>
      </c>
      <c r="D179" t="s">
        <v>0</v>
      </c>
      <c r="E179" t="s">
        <v>94</v>
      </c>
      <c r="F179" t="s">
        <v>95</v>
      </c>
      <c r="G179" t="s">
        <v>35</v>
      </c>
      <c r="H179">
        <v>2</v>
      </c>
      <c r="I179">
        <v>350000</v>
      </c>
      <c r="J179">
        <v>0</v>
      </c>
      <c r="K179" t="s">
        <v>252</v>
      </c>
      <c r="L179">
        <v>243</v>
      </c>
      <c r="M179">
        <v>73</v>
      </c>
      <c r="N179">
        <v>4794</v>
      </c>
      <c r="O179">
        <v>243.38</v>
      </c>
      <c r="P179">
        <v>73</v>
      </c>
      <c r="Q179">
        <v>4795</v>
      </c>
      <c r="R179" t="s">
        <v>154</v>
      </c>
      <c r="S179" s="40">
        <v>46062</v>
      </c>
      <c r="T179">
        <v>37.548274999999997</v>
      </c>
      <c r="U179">
        <v>126.92235100000001</v>
      </c>
      <c r="V179" t="s">
        <v>253</v>
      </c>
      <c r="W179" t="s">
        <v>254</v>
      </c>
      <c r="X179">
        <v>1</v>
      </c>
      <c r="Y179">
        <v>0</v>
      </c>
      <c r="Z179">
        <v>0</v>
      </c>
      <c r="AA179" t="s">
        <v>139</v>
      </c>
      <c r="AB179" t="s">
        <v>255</v>
      </c>
      <c r="AC179">
        <v>350000</v>
      </c>
      <c r="AD179">
        <v>0</v>
      </c>
      <c r="AE179" t="s">
        <v>101</v>
      </c>
      <c r="AF179" t="s">
        <v>242</v>
      </c>
      <c r="AG179" t="s">
        <v>103</v>
      </c>
      <c r="AH179">
        <v>74.937618758507597</v>
      </c>
      <c r="AI179" t="s">
        <v>47</v>
      </c>
      <c r="AJ179" t="s">
        <v>104</v>
      </c>
      <c r="AK179">
        <v>490.04162679525513</v>
      </c>
      <c r="AL179">
        <v>1</v>
      </c>
      <c r="AM179" s="41" t="s">
        <v>256</v>
      </c>
      <c r="AN179">
        <f t="shared" si="90"/>
        <v>25</v>
      </c>
      <c r="AO179" t="str">
        <f t="shared" si="91"/>
        <v>이상</v>
      </c>
      <c r="AP179">
        <f t="shared" si="92"/>
        <v>26</v>
      </c>
      <c r="AQ179">
        <f t="shared" si="93"/>
        <v>40</v>
      </c>
      <c r="AR179" t="str">
        <f t="shared" si="94"/>
        <v>B1</v>
      </c>
      <c r="AS179">
        <f>IFERROR(ACOS(SIN(RADIANS(거래사례!$S$11))*SIN(RADIANS($T179))+COS(RADIANS(거래사례!$S$11))*COS(RADIANS($T179))*COS(RADIANS($U179-거래사례!$P$11)))*6371000,"")</f>
        <v>1415.4909783200042</v>
      </c>
    </row>
    <row r="180" spans="1:45">
      <c r="A180">
        <v>2608730060</v>
      </c>
      <c r="B180">
        <v>1144011100</v>
      </c>
      <c r="C180" t="s">
        <v>93</v>
      </c>
      <c r="D180" t="s">
        <v>0</v>
      </c>
      <c r="E180" t="s">
        <v>94</v>
      </c>
      <c r="F180" t="s">
        <v>95</v>
      </c>
      <c r="G180">
        <v>1</v>
      </c>
      <c r="H180">
        <v>2</v>
      </c>
      <c r="I180">
        <v>140000</v>
      </c>
      <c r="J180">
        <v>0</v>
      </c>
      <c r="K180" t="s">
        <v>269</v>
      </c>
      <c r="L180">
        <v>98</v>
      </c>
      <c r="M180">
        <v>29</v>
      </c>
      <c r="N180">
        <v>4827</v>
      </c>
      <c r="O180">
        <v>98.58</v>
      </c>
      <c r="P180">
        <v>29</v>
      </c>
      <c r="Q180">
        <v>4828</v>
      </c>
      <c r="R180" t="s">
        <v>136</v>
      </c>
      <c r="S180" s="40">
        <v>46066</v>
      </c>
      <c r="T180">
        <v>37.551645000000001</v>
      </c>
      <c r="U180">
        <v>126.936758</v>
      </c>
      <c r="V180" t="s">
        <v>539</v>
      </c>
      <c r="W180" t="s">
        <v>540</v>
      </c>
      <c r="X180">
        <v>1</v>
      </c>
      <c r="Y180">
        <v>0</v>
      </c>
      <c r="Z180">
        <v>0</v>
      </c>
      <c r="AA180" t="s">
        <v>113</v>
      </c>
      <c r="AB180" t="s">
        <v>541</v>
      </c>
      <c r="AC180">
        <v>140000</v>
      </c>
      <c r="AD180">
        <v>0</v>
      </c>
      <c r="AE180" t="s">
        <v>101</v>
      </c>
      <c r="AF180" t="s">
        <v>475</v>
      </c>
      <c r="AG180" t="s">
        <v>476</v>
      </c>
      <c r="AH180">
        <v>173.90402147796084</v>
      </c>
      <c r="AI180" t="s">
        <v>48</v>
      </c>
      <c r="AJ180" t="s">
        <v>104</v>
      </c>
      <c r="AK180">
        <v>1029.3195561160649</v>
      </c>
      <c r="AL180" t="s">
        <v>105</v>
      </c>
      <c r="AM180" s="41" t="s">
        <v>542</v>
      </c>
      <c r="AN180">
        <f t="shared" si="90"/>
        <v>10</v>
      </c>
      <c r="AO180" t="str">
        <f t="shared" si="91"/>
        <v>이내</v>
      </c>
      <c r="AP180">
        <f t="shared" si="92"/>
        <v>10</v>
      </c>
      <c r="AQ180">
        <f t="shared" si="93"/>
        <v>20</v>
      </c>
      <c r="AR180" t="str">
        <f t="shared" si="94"/>
        <v>저</v>
      </c>
      <c r="AS180">
        <f>IFERROR(ACOS(SIN(RADIANS(거래사례!$S$11))*SIN(RADIANS($T180))+COS(RADIANS(거래사례!$S$11))*COS(RADIANS($T180))*COS(RADIANS($U180-거래사례!$P$11)))*6371000,"")</f>
        <v>1127.043962536706</v>
      </c>
    </row>
    <row r="181" spans="1:45" hidden="1">
      <c r="A181">
        <v>2606512354</v>
      </c>
      <c r="B181">
        <v>1144012000</v>
      </c>
      <c r="C181" t="s">
        <v>93</v>
      </c>
      <c r="D181" t="s">
        <v>0</v>
      </c>
      <c r="E181" t="s">
        <v>94</v>
      </c>
      <c r="F181" t="s">
        <v>135</v>
      </c>
      <c r="G181">
        <v>1</v>
      </c>
      <c r="H181">
        <v>6</v>
      </c>
      <c r="I181">
        <v>83000</v>
      </c>
      <c r="J181">
        <v>0</v>
      </c>
      <c r="K181" t="s">
        <v>559</v>
      </c>
      <c r="L181">
        <v>89</v>
      </c>
      <c r="M181">
        <v>26</v>
      </c>
      <c r="N181">
        <v>3192</v>
      </c>
      <c r="O181">
        <v>48.8</v>
      </c>
      <c r="P181">
        <v>14</v>
      </c>
      <c r="Q181">
        <v>5929</v>
      </c>
      <c r="R181" t="s">
        <v>110</v>
      </c>
      <c r="S181" s="40">
        <v>46056</v>
      </c>
      <c r="T181">
        <v>37.553348999999997</v>
      </c>
      <c r="U181">
        <v>126.924397</v>
      </c>
      <c r="V181" t="s">
        <v>560</v>
      </c>
      <c r="W181" t="s">
        <v>561</v>
      </c>
      <c r="X181">
        <v>2</v>
      </c>
      <c r="Y181" t="s">
        <v>559</v>
      </c>
      <c r="Z181" t="s">
        <v>559</v>
      </c>
      <c r="AA181" t="s">
        <v>99</v>
      </c>
      <c r="AB181" t="s">
        <v>562</v>
      </c>
      <c r="AC181">
        <v>83000</v>
      </c>
      <c r="AD181">
        <v>0</v>
      </c>
      <c r="AE181" t="s">
        <v>101</v>
      </c>
      <c r="AF181" t="s">
        <v>165</v>
      </c>
      <c r="AG181" t="s">
        <v>166</v>
      </c>
      <c r="AH181">
        <v>402.35281783877383</v>
      </c>
      <c r="AI181" t="s">
        <v>47</v>
      </c>
      <c r="AJ181" t="s">
        <v>104</v>
      </c>
      <c r="AK181">
        <v>732.53643904711817</v>
      </c>
      <c r="AL181" t="s">
        <v>105</v>
      </c>
      <c r="AM181" s="41" t="s">
        <v>563</v>
      </c>
    </row>
    <row r="182" spans="1:45" hidden="1">
      <c r="A182">
        <v>2606513447</v>
      </c>
      <c r="B182">
        <v>1144012000</v>
      </c>
      <c r="C182" t="s">
        <v>93</v>
      </c>
      <c r="D182" t="s">
        <v>0</v>
      </c>
      <c r="E182" t="s">
        <v>94</v>
      </c>
      <c r="F182" t="s">
        <v>135</v>
      </c>
      <c r="G182">
        <v>1</v>
      </c>
      <c r="H182">
        <v>6</v>
      </c>
      <c r="I182">
        <v>83000</v>
      </c>
      <c r="J182">
        <v>0</v>
      </c>
      <c r="K182" t="s">
        <v>559</v>
      </c>
      <c r="L182">
        <v>89</v>
      </c>
      <c r="M182">
        <v>26</v>
      </c>
      <c r="N182">
        <v>3192</v>
      </c>
      <c r="O182">
        <v>48.8</v>
      </c>
      <c r="P182">
        <v>14</v>
      </c>
      <c r="Q182">
        <v>5929</v>
      </c>
      <c r="R182" t="s">
        <v>110</v>
      </c>
      <c r="S182" s="40">
        <v>46055</v>
      </c>
      <c r="T182">
        <v>37.553488000000002</v>
      </c>
      <c r="U182">
        <v>126.92430400000001</v>
      </c>
      <c r="V182" t="s">
        <v>560</v>
      </c>
      <c r="W182" t="s">
        <v>561</v>
      </c>
      <c r="X182">
        <v>1</v>
      </c>
      <c r="Y182">
        <v>0</v>
      </c>
      <c r="Z182">
        <v>0</v>
      </c>
      <c r="AA182" t="s">
        <v>99</v>
      </c>
      <c r="AB182" t="s">
        <v>562</v>
      </c>
      <c r="AC182">
        <v>83000</v>
      </c>
      <c r="AD182">
        <v>0</v>
      </c>
      <c r="AE182" t="s">
        <v>101</v>
      </c>
      <c r="AF182" t="s">
        <v>165</v>
      </c>
      <c r="AG182" t="s">
        <v>166</v>
      </c>
      <c r="AH182">
        <v>385.18638332688346</v>
      </c>
      <c r="AI182" t="s">
        <v>47</v>
      </c>
      <c r="AJ182" t="s">
        <v>104</v>
      </c>
      <c r="AK182">
        <v>730.39400802924092</v>
      </c>
      <c r="AL182" t="s">
        <v>105</v>
      </c>
      <c r="AM182" s="41" t="s">
        <v>563</v>
      </c>
    </row>
    <row r="183" spans="1:45">
      <c r="A183">
        <v>2608730060</v>
      </c>
      <c r="B183">
        <v>1144011100</v>
      </c>
      <c r="C183" t="s">
        <v>93</v>
      </c>
      <c r="D183" t="s">
        <v>0</v>
      </c>
      <c r="E183" t="s">
        <v>94</v>
      </c>
      <c r="F183" t="s">
        <v>95</v>
      </c>
      <c r="G183">
        <v>1</v>
      </c>
      <c r="H183">
        <v>2</v>
      </c>
      <c r="I183">
        <v>140000</v>
      </c>
      <c r="J183">
        <v>0</v>
      </c>
      <c r="K183" t="s">
        <v>269</v>
      </c>
      <c r="L183">
        <v>98</v>
      </c>
      <c r="M183">
        <v>29</v>
      </c>
      <c r="N183">
        <v>4827</v>
      </c>
      <c r="O183">
        <v>98.58</v>
      </c>
      <c r="P183">
        <v>29</v>
      </c>
      <c r="Q183">
        <v>4828</v>
      </c>
      <c r="R183" t="s">
        <v>136</v>
      </c>
      <c r="S183" s="40">
        <v>46066</v>
      </c>
      <c r="T183">
        <v>37.551645000000001</v>
      </c>
      <c r="U183">
        <v>126.936758</v>
      </c>
      <c r="V183" t="s">
        <v>539</v>
      </c>
      <c r="W183" t="s">
        <v>540</v>
      </c>
      <c r="X183">
        <v>1</v>
      </c>
      <c r="Y183">
        <v>0</v>
      </c>
      <c r="Z183">
        <v>0</v>
      </c>
      <c r="AA183" t="s">
        <v>113</v>
      </c>
      <c r="AB183" t="s">
        <v>541</v>
      </c>
      <c r="AC183">
        <v>140000</v>
      </c>
      <c r="AD183">
        <v>0</v>
      </c>
      <c r="AE183" t="s">
        <v>101</v>
      </c>
      <c r="AF183" t="s">
        <v>475</v>
      </c>
      <c r="AG183" t="s">
        <v>476</v>
      </c>
      <c r="AH183">
        <v>173.90402147796084</v>
      </c>
      <c r="AI183" t="s">
        <v>48</v>
      </c>
      <c r="AJ183" t="s">
        <v>104</v>
      </c>
      <c r="AK183">
        <v>1029.3195561160649</v>
      </c>
      <c r="AL183" t="s">
        <v>105</v>
      </c>
      <c r="AM183" s="41" t="s">
        <v>542</v>
      </c>
      <c r="AN183">
        <f t="shared" ref="AN183:AN184" si="95">IFERROR(VALUE(LEFT($W183,FIND("년",$W183)-1)),"")</f>
        <v>10</v>
      </c>
      <c r="AO183" t="str">
        <f t="shared" ref="AO183:AO184" si="96">IFERROR(IF(FIND("년",$W183)=3,MID($W183,FIND("년",$W183)+1,FIND("년",$W183)-1),MID($W183,FIND("년",$W183)+1,FIND("년",$W183))),"")</f>
        <v>이내</v>
      </c>
      <c r="AP183">
        <f t="shared" ref="AP183:AP184" si="97">IFERROR(IF($AN183&lt;11,10,IF(AND($AN183&lt;26,$AO183="이내"),25,26)),"")</f>
        <v>10</v>
      </c>
      <c r="AQ183">
        <f t="shared" ref="AQ183:AQ184" si="98">IFERROR(IF($P183&lt;10,9,IF($P183&lt;20,10,IF($P183&lt;30,20,IF($P183&lt;40,30,40)))),"")</f>
        <v>20</v>
      </c>
      <c r="AR183" t="str">
        <f t="shared" ref="AR183:AR184" si="99">IFERROR(IF($D183="상가",IF($G183="1","1층",IF($G183="전체층","전체층",IF(LEFT($G183,1)="B","B1",IF($G183&lt;6,"저",IF($G183/$H183&lt;=$BC$9,"저",IF($G183/$H183&lt;=$BC$10,"중","고")))))),IF(LEFT($G183,1)="B","B1",IF($H183&lt;6,"저",IF($G183/$H183&lt;=$BC$2,"저",IF($G183/$H183&lt;=$BC$3,"중","고"))))),"")</f>
        <v>저</v>
      </c>
      <c r="AS183">
        <f>IFERROR(ACOS(SIN(RADIANS(거래사례!$S$11))*SIN(RADIANS($T183))+COS(RADIANS(거래사례!$S$11))*COS(RADIANS($T183))*COS(RADIANS($U183-거래사례!$P$11)))*6371000,"")</f>
        <v>1127.043962536706</v>
      </c>
    </row>
    <row r="184" spans="1:45">
      <c r="A184">
        <v>2611397558</v>
      </c>
      <c r="B184">
        <v>1144012000</v>
      </c>
      <c r="C184" t="s">
        <v>211</v>
      </c>
      <c r="D184" t="s">
        <v>0</v>
      </c>
      <c r="E184" t="s">
        <v>94</v>
      </c>
      <c r="F184" t="s">
        <v>95</v>
      </c>
      <c r="G184">
        <v>3</v>
      </c>
      <c r="H184">
        <v>10</v>
      </c>
      <c r="I184">
        <v>110000</v>
      </c>
      <c r="J184">
        <v>0</v>
      </c>
      <c r="K184" t="s">
        <v>229</v>
      </c>
      <c r="L184">
        <v>120</v>
      </c>
      <c r="M184">
        <v>36</v>
      </c>
      <c r="N184">
        <v>3055</v>
      </c>
      <c r="O184">
        <v>74.5</v>
      </c>
      <c r="P184">
        <v>22</v>
      </c>
      <c r="Q184">
        <v>5000</v>
      </c>
      <c r="R184" t="s">
        <v>208</v>
      </c>
      <c r="S184" s="40">
        <v>46084</v>
      </c>
      <c r="T184">
        <v>37.552424000000002</v>
      </c>
      <c r="U184">
        <v>126.91909699999999</v>
      </c>
      <c r="V184" t="s">
        <v>265</v>
      </c>
      <c r="W184" t="s">
        <v>266</v>
      </c>
      <c r="X184">
        <v>1</v>
      </c>
      <c r="Y184">
        <v>0</v>
      </c>
      <c r="Z184">
        <v>0</v>
      </c>
      <c r="AA184" t="s">
        <v>99</v>
      </c>
      <c r="AB184" t="s">
        <v>267</v>
      </c>
      <c r="AC184">
        <v>110000</v>
      </c>
      <c r="AD184">
        <v>0</v>
      </c>
      <c r="AE184" t="s">
        <v>101</v>
      </c>
      <c r="AF184" t="s">
        <v>115</v>
      </c>
      <c r="AG184" t="s">
        <v>116</v>
      </c>
      <c r="AH184">
        <v>558.94798415544108</v>
      </c>
      <c r="AI184" t="s">
        <v>47</v>
      </c>
      <c r="AJ184" t="s">
        <v>104</v>
      </c>
      <c r="AK184">
        <v>232.85385106390223</v>
      </c>
      <c r="AL184">
        <v>1</v>
      </c>
      <c r="AM184" s="41" t="s">
        <v>268</v>
      </c>
      <c r="AN184">
        <f t="shared" si="95"/>
        <v>4</v>
      </c>
      <c r="AO184" t="str">
        <f t="shared" si="96"/>
        <v>이내</v>
      </c>
      <c r="AP184">
        <f t="shared" si="97"/>
        <v>10</v>
      </c>
      <c r="AQ184">
        <f t="shared" si="98"/>
        <v>20</v>
      </c>
      <c r="AR184" t="str">
        <f t="shared" si="99"/>
        <v>저</v>
      </c>
      <c r="AS184">
        <f>IFERROR(ACOS(SIN(RADIANS(거래사례!$S$11))*SIN(RADIANS($T184))+COS(RADIANS(거래사례!$S$11))*COS(RADIANS($T184))*COS(RADIANS($U184-거래사례!$P$11)))*6371000,"")</f>
        <v>1208.6579868311039</v>
      </c>
    </row>
    <row r="185" spans="1:45" hidden="1">
      <c r="A185">
        <v>2611455390</v>
      </c>
      <c r="B185">
        <v>1144011100</v>
      </c>
      <c r="C185" t="s">
        <v>134</v>
      </c>
      <c r="D185" t="s">
        <v>0</v>
      </c>
      <c r="E185" t="s">
        <v>94</v>
      </c>
      <c r="F185" t="s">
        <v>135</v>
      </c>
      <c r="G185">
        <v>1</v>
      </c>
      <c r="H185">
        <v>1</v>
      </c>
      <c r="I185">
        <v>72000</v>
      </c>
      <c r="J185">
        <v>0</v>
      </c>
      <c r="K185" t="s">
        <v>564</v>
      </c>
      <c r="L185">
        <v>79</v>
      </c>
      <c r="M185">
        <v>23</v>
      </c>
      <c r="N185">
        <v>3130</v>
      </c>
      <c r="O185">
        <v>42.63</v>
      </c>
      <c r="P185">
        <v>12</v>
      </c>
      <c r="Q185">
        <v>6000</v>
      </c>
      <c r="R185" t="s">
        <v>154</v>
      </c>
      <c r="S185" s="40">
        <v>46084</v>
      </c>
      <c r="T185">
        <v>37.551087000000003</v>
      </c>
      <c r="U185">
        <v>126.934427</v>
      </c>
      <c r="V185" t="s">
        <v>565</v>
      </c>
      <c r="W185" t="s">
        <v>405</v>
      </c>
      <c r="X185">
        <v>1</v>
      </c>
      <c r="Y185">
        <v>0</v>
      </c>
      <c r="Z185">
        <v>0</v>
      </c>
      <c r="AA185" t="s">
        <v>99</v>
      </c>
      <c r="AB185" t="s">
        <v>566</v>
      </c>
      <c r="AC185">
        <v>72000</v>
      </c>
      <c r="AD185">
        <v>0</v>
      </c>
      <c r="AE185" t="s">
        <v>101</v>
      </c>
      <c r="AF185" t="s">
        <v>475</v>
      </c>
      <c r="AG185" t="s">
        <v>476</v>
      </c>
      <c r="AH185">
        <v>164.32942527335157</v>
      </c>
      <c r="AI185" t="s">
        <v>47</v>
      </c>
      <c r="AJ185" t="s">
        <v>104</v>
      </c>
      <c r="AK185">
        <v>1272.2165016406389</v>
      </c>
      <c r="AL185" t="s">
        <v>105</v>
      </c>
      <c r="AM185" s="41" t="s">
        <v>524</v>
      </c>
    </row>
    <row r="186" spans="1:45" hidden="1">
      <c r="A186">
        <v>2609181988</v>
      </c>
      <c r="B186">
        <v>1144011100</v>
      </c>
      <c r="C186" t="s">
        <v>134</v>
      </c>
      <c r="D186" t="s">
        <v>0</v>
      </c>
      <c r="E186" t="s">
        <v>94</v>
      </c>
      <c r="F186" t="s">
        <v>135</v>
      </c>
      <c r="G186">
        <v>1</v>
      </c>
      <c r="H186">
        <v>1</v>
      </c>
      <c r="I186">
        <v>90000</v>
      </c>
      <c r="J186">
        <v>0</v>
      </c>
      <c r="K186" t="s">
        <v>212</v>
      </c>
      <c r="L186">
        <v>51</v>
      </c>
      <c r="M186">
        <v>15</v>
      </c>
      <c r="N186">
        <v>6000</v>
      </c>
      <c r="O186">
        <v>51.16</v>
      </c>
      <c r="P186">
        <v>15</v>
      </c>
      <c r="Q186">
        <v>6000</v>
      </c>
      <c r="R186" t="s">
        <v>161</v>
      </c>
      <c r="S186" s="40">
        <v>46072</v>
      </c>
      <c r="T186">
        <v>37.551091999999997</v>
      </c>
      <c r="U186">
        <v>126.934428</v>
      </c>
      <c r="V186" t="s">
        <v>567</v>
      </c>
      <c r="W186" t="s">
        <v>414</v>
      </c>
      <c r="X186">
        <v>1</v>
      </c>
      <c r="Y186">
        <v>0</v>
      </c>
      <c r="Z186">
        <v>0</v>
      </c>
      <c r="AA186" t="s">
        <v>113</v>
      </c>
      <c r="AB186" t="s">
        <v>523</v>
      </c>
      <c r="AC186">
        <v>90000</v>
      </c>
      <c r="AD186">
        <v>0</v>
      </c>
      <c r="AE186" t="s">
        <v>101</v>
      </c>
      <c r="AF186" t="s">
        <v>475</v>
      </c>
      <c r="AG186" t="s">
        <v>476</v>
      </c>
      <c r="AH186">
        <v>163.81954637736581</v>
      </c>
      <c r="AI186" t="s">
        <v>47</v>
      </c>
      <c r="AJ186" t="s">
        <v>104</v>
      </c>
      <c r="AK186">
        <v>1271.8041472437619</v>
      </c>
      <c r="AL186" t="s">
        <v>105</v>
      </c>
      <c r="AM186" s="41" t="s">
        <v>524</v>
      </c>
    </row>
    <row r="187" spans="1:45" hidden="1">
      <c r="A187">
        <v>2607204136</v>
      </c>
      <c r="B187">
        <v>1144012000</v>
      </c>
      <c r="C187" t="s">
        <v>211</v>
      </c>
      <c r="D187" t="s">
        <v>0</v>
      </c>
      <c r="E187" t="s">
        <v>94</v>
      </c>
      <c r="F187" t="s">
        <v>135</v>
      </c>
      <c r="G187" t="s">
        <v>35</v>
      </c>
      <c r="H187">
        <v>2</v>
      </c>
      <c r="I187">
        <v>54000</v>
      </c>
      <c r="J187">
        <v>0</v>
      </c>
      <c r="K187" t="s">
        <v>323</v>
      </c>
      <c r="L187">
        <v>72</v>
      </c>
      <c r="M187">
        <v>21</v>
      </c>
      <c r="N187">
        <v>2571</v>
      </c>
      <c r="O187">
        <v>32.630000000000003</v>
      </c>
      <c r="P187">
        <v>9</v>
      </c>
      <c r="Q187">
        <v>6000</v>
      </c>
      <c r="R187" t="s">
        <v>96</v>
      </c>
      <c r="S187" s="40">
        <v>46058</v>
      </c>
      <c r="T187">
        <v>37.550941999999999</v>
      </c>
      <c r="U187">
        <v>126.913787</v>
      </c>
      <c r="V187" t="s">
        <v>324</v>
      </c>
      <c r="W187" t="s">
        <v>189</v>
      </c>
      <c r="X187">
        <v>1</v>
      </c>
      <c r="Y187">
        <v>0</v>
      </c>
      <c r="Z187">
        <v>0</v>
      </c>
      <c r="AA187" t="s">
        <v>148</v>
      </c>
      <c r="AB187" t="s">
        <v>325</v>
      </c>
      <c r="AC187">
        <v>54000</v>
      </c>
      <c r="AD187">
        <v>0</v>
      </c>
      <c r="AE187" t="s">
        <v>101</v>
      </c>
      <c r="AF187" t="s">
        <v>115</v>
      </c>
      <c r="AG187" t="s">
        <v>116</v>
      </c>
      <c r="AH187">
        <v>132.09524505029225</v>
      </c>
      <c r="AI187" t="s">
        <v>47</v>
      </c>
      <c r="AJ187" t="s">
        <v>104</v>
      </c>
      <c r="AK187">
        <v>528.49483569447079</v>
      </c>
      <c r="AL187">
        <v>1</v>
      </c>
      <c r="AM187" s="41" t="s">
        <v>178</v>
      </c>
    </row>
    <row r="188" spans="1:45" hidden="1">
      <c r="A188">
        <v>2611908783</v>
      </c>
      <c r="B188">
        <v>1144012200</v>
      </c>
      <c r="C188" t="s">
        <v>93</v>
      </c>
      <c r="D188" t="s">
        <v>0</v>
      </c>
      <c r="E188" t="s">
        <v>94</v>
      </c>
      <c r="F188" t="s">
        <v>244</v>
      </c>
      <c r="G188">
        <v>1</v>
      </c>
      <c r="H188">
        <v>5</v>
      </c>
      <c r="I188">
        <v>62000</v>
      </c>
      <c r="J188">
        <v>0</v>
      </c>
      <c r="K188" t="s">
        <v>326</v>
      </c>
      <c r="L188">
        <v>33</v>
      </c>
      <c r="M188">
        <v>9</v>
      </c>
      <c r="N188">
        <v>6888</v>
      </c>
      <c r="O188">
        <v>33.06</v>
      </c>
      <c r="P188">
        <v>10</v>
      </c>
      <c r="Q188">
        <v>6200</v>
      </c>
      <c r="R188" t="s">
        <v>96</v>
      </c>
      <c r="S188" s="40">
        <v>46085</v>
      </c>
      <c r="T188">
        <v>37.552261999999999</v>
      </c>
      <c r="U188">
        <v>126.908447</v>
      </c>
      <c r="V188" t="s">
        <v>327</v>
      </c>
      <c r="W188" t="s">
        <v>195</v>
      </c>
      <c r="X188">
        <v>1</v>
      </c>
      <c r="Y188">
        <v>0</v>
      </c>
      <c r="Z188">
        <v>0</v>
      </c>
      <c r="AA188" t="s">
        <v>328</v>
      </c>
      <c r="AB188" t="s">
        <v>329</v>
      </c>
      <c r="AC188">
        <v>62000</v>
      </c>
      <c r="AD188">
        <v>0</v>
      </c>
      <c r="AE188" t="s">
        <v>101</v>
      </c>
      <c r="AF188" t="s">
        <v>102</v>
      </c>
      <c r="AG188" t="s">
        <v>103</v>
      </c>
      <c r="AH188">
        <v>457.9356447040841</v>
      </c>
      <c r="AI188" t="s">
        <v>47</v>
      </c>
      <c r="AJ188" t="s">
        <v>104</v>
      </c>
      <c r="AK188">
        <v>1138.3755632534906</v>
      </c>
      <c r="AL188" t="s">
        <v>105</v>
      </c>
      <c r="AM188" s="41" t="s">
        <v>330</v>
      </c>
    </row>
    <row r="189" spans="1:45" hidden="1">
      <c r="A189">
        <v>2606922832</v>
      </c>
      <c r="B189">
        <v>1144012400</v>
      </c>
      <c r="C189" t="s">
        <v>93</v>
      </c>
      <c r="D189" t="s">
        <v>0</v>
      </c>
      <c r="E189" t="s">
        <v>94</v>
      </c>
      <c r="F189" t="s">
        <v>95</v>
      </c>
      <c r="G189">
        <v>1</v>
      </c>
      <c r="H189">
        <v>5</v>
      </c>
      <c r="I189">
        <v>50000</v>
      </c>
      <c r="J189">
        <v>0</v>
      </c>
      <c r="K189" t="s">
        <v>168</v>
      </c>
      <c r="L189">
        <v>28</v>
      </c>
      <c r="M189">
        <v>8</v>
      </c>
      <c r="N189">
        <v>6250</v>
      </c>
      <c r="O189">
        <v>28.5</v>
      </c>
      <c r="P189">
        <v>8</v>
      </c>
      <c r="Q189">
        <v>6250</v>
      </c>
      <c r="R189" t="s">
        <v>121</v>
      </c>
      <c r="S189" s="40">
        <v>46057</v>
      </c>
      <c r="T189">
        <v>37.55932</v>
      </c>
      <c r="U189">
        <v>126.918761</v>
      </c>
      <c r="V189" t="s">
        <v>568</v>
      </c>
      <c r="W189" t="s">
        <v>569</v>
      </c>
      <c r="X189">
        <v>1</v>
      </c>
      <c r="Y189">
        <v>0</v>
      </c>
      <c r="Z189">
        <v>0</v>
      </c>
      <c r="AA189" t="s">
        <v>113</v>
      </c>
      <c r="AB189" t="s">
        <v>570</v>
      </c>
      <c r="AC189">
        <v>50000</v>
      </c>
      <c r="AD189">
        <v>0</v>
      </c>
      <c r="AE189" t="s">
        <v>101</v>
      </c>
      <c r="AF189" t="s">
        <v>165</v>
      </c>
      <c r="AG189" t="s">
        <v>166</v>
      </c>
      <c r="AH189">
        <v>610.16387193891501</v>
      </c>
      <c r="AI189" t="s">
        <v>47</v>
      </c>
      <c r="AJ189" t="s">
        <v>104</v>
      </c>
      <c r="AK189">
        <v>991.41743314599921</v>
      </c>
      <c r="AL189" t="s">
        <v>105</v>
      </c>
      <c r="AM189" s="41" t="s">
        <v>571</v>
      </c>
    </row>
    <row r="190" spans="1:45" hidden="1">
      <c r="A190">
        <v>2610757625</v>
      </c>
      <c r="B190">
        <v>1144012100</v>
      </c>
      <c r="C190" t="s">
        <v>134</v>
      </c>
      <c r="D190" t="s">
        <v>0</v>
      </c>
      <c r="E190" t="s">
        <v>94</v>
      </c>
      <c r="F190" t="s">
        <v>119</v>
      </c>
      <c r="G190">
        <v>2</v>
      </c>
      <c r="H190">
        <v>15</v>
      </c>
      <c r="I190">
        <v>70000</v>
      </c>
      <c r="J190">
        <v>0</v>
      </c>
      <c r="K190" t="s">
        <v>225</v>
      </c>
      <c r="L190">
        <v>76</v>
      </c>
      <c r="M190">
        <v>22</v>
      </c>
      <c r="N190">
        <v>3181</v>
      </c>
      <c r="O190">
        <v>37.72</v>
      </c>
      <c r="P190">
        <v>11</v>
      </c>
      <c r="Q190">
        <v>6364</v>
      </c>
      <c r="R190" t="s">
        <v>121</v>
      </c>
      <c r="S190" s="40">
        <v>46079</v>
      </c>
      <c r="T190">
        <v>37.558401000000003</v>
      </c>
      <c r="U190">
        <v>126.925119</v>
      </c>
      <c r="V190" t="s">
        <v>572</v>
      </c>
      <c r="W190" t="s">
        <v>573</v>
      </c>
      <c r="X190">
        <v>1</v>
      </c>
      <c r="Y190">
        <v>0</v>
      </c>
      <c r="Z190">
        <v>0</v>
      </c>
      <c r="AA190" t="s">
        <v>124</v>
      </c>
      <c r="AB190" t="s">
        <v>574</v>
      </c>
      <c r="AC190">
        <v>70000</v>
      </c>
      <c r="AD190">
        <v>0</v>
      </c>
      <c r="AE190" t="s">
        <v>101</v>
      </c>
      <c r="AF190" t="s">
        <v>165</v>
      </c>
      <c r="AG190" t="s">
        <v>166</v>
      </c>
      <c r="AH190">
        <v>115.59321262223921</v>
      </c>
      <c r="AI190" t="s">
        <v>47</v>
      </c>
      <c r="AJ190" t="s">
        <v>104</v>
      </c>
      <c r="AK190">
        <v>1154.0393989497686</v>
      </c>
      <c r="AL190" t="s">
        <v>105</v>
      </c>
      <c r="AM190" s="41" t="s">
        <v>575</v>
      </c>
    </row>
    <row r="191" spans="1:45" hidden="1">
      <c r="A191">
        <v>2611910640</v>
      </c>
      <c r="B191">
        <v>1144011400</v>
      </c>
      <c r="C191" t="s">
        <v>134</v>
      </c>
      <c r="D191" t="s">
        <v>0</v>
      </c>
      <c r="E191" t="s">
        <v>94</v>
      </c>
      <c r="F191" t="s">
        <v>135</v>
      </c>
      <c r="G191">
        <v>1</v>
      </c>
      <c r="H191">
        <v>2</v>
      </c>
      <c r="I191">
        <v>77000</v>
      </c>
      <c r="J191">
        <v>0</v>
      </c>
      <c r="K191" t="s">
        <v>576</v>
      </c>
      <c r="L191">
        <v>40</v>
      </c>
      <c r="M191">
        <v>12</v>
      </c>
      <c r="N191">
        <v>6416</v>
      </c>
      <c r="O191">
        <v>40.9</v>
      </c>
      <c r="P191">
        <v>12</v>
      </c>
      <c r="Q191">
        <v>6417</v>
      </c>
      <c r="R191" t="s">
        <v>145</v>
      </c>
      <c r="S191" s="40">
        <v>46085</v>
      </c>
      <c r="T191">
        <v>37.548369000000001</v>
      </c>
      <c r="U191">
        <v>126.92944799999999</v>
      </c>
      <c r="V191" t="s">
        <v>577</v>
      </c>
      <c r="W191" t="s">
        <v>548</v>
      </c>
      <c r="X191">
        <v>1</v>
      </c>
      <c r="Y191">
        <v>0</v>
      </c>
      <c r="Z191">
        <v>0</v>
      </c>
      <c r="AA191" t="s">
        <v>176</v>
      </c>
      <c r="AB191" t="s">
        <v>480</v>
      </c>
      <c r="AC191">
        <v>77000</v>
      </c>
      <c r="AD191">
        <v>0</v>
      </c>
      <c r="AE191" t="s">
        <v>101</v>
      </c>
      <c r="AF191" t="s">
        <v>481</v>
      </c>
      <c r="AG191" t="s">
        <v>103</v>
      </c>
      <c r="AH191">
        <v>353.10489569662644</v>
      </c>
      <c r="AI191" t="s">
        <v>47</v>
      </c>
      <c r="AJ191" t="s">
        <v>104</v>
      </c>
      <c r="AK191">
        <v>1239.2769741190828</v>
      </c>
      <c r="AL191" t="s">
        <v>105</v>
      </c>
      <c r="AM191" s="41" t="s">
        <v>482</v>
      </c>
    </row>
    <row r="192" spans="1:45" hidden="1">
      <c r="A192">
        <v>2610648214</v>
      </c>
      <c r="B192">
        <v>1144011400</v>
      </c>
      <c r="C192" t="s">
        <v>134</v>
      </c>
      <c r="D192" t="s">
        <v>0</v>
      </c>
      <c r="E192" t="s">
        <v>94</v>
      </c>
      <c r="F192" t="s">
        <v>135</v>
      </c>
      <c r="G192">
        <v>1</v>
      </c>
      <c r="H192">
        <v>2</v>
      </c>
      <c r="I192">
        <v>77000</v>
      </c>
      <c r="J192">
        <v>0</v>
      </c>
      <c r="K192" t="s">
        <v>576</v>
      </c>
      <c r="L192">
        <v>63</v>
      </c>
      <c r="M192">
        <v>19</v>
      </c>
      <c r="N192">
        <v>4052</v>
      </c>
      <c r="O192">
        <v>40.9</v>
      </c>
      <c r="P192">
        <v>12</v>
      </c>
      <c r="Q192">
        <v>6417</v>
      </c>
      <c r="R192" t="s">
        <v>145</v>
      </c>
      <c r="S192" s="40">
        <v>46078</v>
      </c>
      <c r="T192">
        <v>37.548369000000001</v>
      </c>
      <c r="U192">
        <v>126.92944799999999</v>
      </c>
      <c r="V192" t="s">
        <v>578</v>
      </c>
      <c r="W192" t="s">
        <v>548</v>
      </c>
      <c r="X192">
        <v>1</v>
      </c>
      <c r="Y192">
        <v>0</v>
      </c>
      <c r="Z192">
        <v>0</v>
      </c>
      <c r="AA192" t="s">
        <v>176</v>
      </c>
      <c r="AB192" t="s">
        <v>579</v>
      </c>
      <c r="AC192">
        <v>77000</v>
      </c>
      <c r="AD192">
        <v>0</v>
      </c>
      <c r="AE192" t="s">
        <v>101</v>
      </c>
      <c r="AF192" t="s">
        <v>481</v>
      </c>
      <c r="AG192" t="s">
        <v>103</v>
      </c>
      <c r="AH192">
        <v>353.10489569662644</v>
      </c>
      <c r="AI192" t="s">
        <v>47</v>
      </c>
      <c r="AJ192" t="s">
        <v>104</v>
      </c>
      <c r="AK192">
        <v>1239.2769741190828</v>
      </c>
      <c r="AL192" t="s">
        <v>105</v>
      </c>
      <c r="AM192" s="41" t="s">
        <v>482</v>
      </c>
    </row>
    <row r="193" spans="1:45" hidden="1">
      <c r="A193">
        <v>2610910904</v>
      </c>
      <c r="B193">
        <v>1144012000</v>
      </c>
      <c r="C193" t="s">
        <v>134</v>
      </c>
      <c r="D193" t="s">
        <v>0</v>
      </c>
      <c r="E193" t="s">
        <v>94</v>
      </c>
      <c r="F193" t="s">
        <v>108</v>
      </c>
      <c r="G193">
        <v>1</v>
      </c>
      <c r="H193">
        <v>19</v>
      </c>
      <c r="I193">
        <v>58000</v>
      </c>
      <c r="J193">
        <v>0</v>
      </c>
      <c r="K193" t="s">
        <v>331</v>
      </c>
      <c r="L193">
        <v>54</v>
      </c>
      <c r="M193">
        <v>16</v>
      </c>
      <c r="N193">
        <v>3625</v>
      </c>
      <c r="O193">
        <v>30.87</v>
      </c>
      <c r="P193">
        <v>9</v>
      </c>
      <c r="Q193">
        <v>6444</v>
      </c>
      <c r="R193" t="s">
        <v>154</v>
      </c>
      <c r="S193" s="40">
        <v>46079</v>
      </c>
      <c r="T193">
        <v>37.553798999999998</v>
      </c>
      <c r="U193">
        <v>126.92370099999999</v>
      </c>
      <c r="V193" t="s">
        <v>332</v>
      </c>
      <c r="W193" t="s">
        <v>333</v>
      </c>
      <c r="X193">
        <v>1</v>
      </c>
      <c r="Y193">
        <v>0</v>
      </c>
      <c r="Z193">
        <v>0</v>
      </c>
      <c r="AA193" t="s">
        <v>222</v>
      </c>
      <c r="AB193" t="s">
        <v>255</v>
      </c>
      <c r="AC193">
        <v>58000</v>
      </c>
      <c r="AD193">
        <v>0</v>
      </c>
      <c r="AE193" t="s">
        <v>101</v>
      </c>
      <c r="AF193" t="s">
        <v>165</v>
      </c>
      <c r="AG193" t="s">
        <v>166</v>
      </c>
      <c r="AH193">
        <v>344.14694489895248</v>
      </c>
      <c r="AI193" t="s">
        <v>47</v>
      </c>
      <c r="AJ193" t="s">
        <v>104</v>
      </c>
      <c r="AK193">
        <v>690.06417067304881</v>
      </c>
      <c r="AL193" t="s">
        <v>105</v>
      </c>
      <c r="AM193" s="41" t="s">
        <v>167</v>
      </c>
    </row>
    <row r="194" spans="1:45" hidden="1">
      <c r="A194">
        <v>2610865133</v>
      </c>
      <c r="B194">
        <v>1144011400</v>
      </c>
      <c r="C194" t="s">
        <v>93</v>
      </c>
      <c r="D194" t="s">
        <v>0</v>
      </c>
      <c r="E194" t="s">
        <v>94</v>
      </c>
      <c r="F194" t="s">
        <v>135</v>
      </c>
      <c r="G194">
        <v>1</v>
      </c>
      <c r="H194">
        <v>2</v>
      </c>
      <c r="I194">
        <v>78000</v>
      </c>
      <c r="J194">
        <v>0</v>
      </c>
      <c r="K194" t="s">
        <v>580</v>
      </c>
      <c r="L194">
        <v>63</v>
      </c>
      <c r="M194">
        <v>19</v>
      </c>
      <c r="N194">
        <v>4105</v>
      </c>
      <c r="O194">
        <v>40.9</v>
      </c>
      <c r="P194">
        <v>12</v>
      </c>
      <c r="Q194">
        <v>6500</v>
      </c>
      <c r="S194" s="40">
        <v>46079</v>
      </c>
      <c r="T194">
        <v>37.548369000000001</v>
      </c>
      <c r="U194">
        <v>126.92944799999999</v>
      </c>
      <c r="V194" t="s">
        <v>581</v>
      </c>
      <c r="W194" t="s">
        <v>548</v>
      </c>
      <c r="X194">
        <v>1</v>
      </c>
      <c r="Y194">
        <v>0</v>
      </c>
      <c r="Z194">
        <v>0</v>
      </c>
      <c r="AA194" t="s">
        <v>176</v>
      </c>
      <c r="AB194" t="s">
        <v>582</v>
      </c>
      <c r="AC194">
        <v>78000</v>
      </c>
      <c r="AD194">
        <v>0</v>
      </c>
      <c r="AE194" t="s">
        <v>101</v>
      </c>
      <c r="AF194" t="s">
        <v>481</v>
      </c>
      <c r="AG194" t="s">
        <v>103</v>
      </c>
      <c r="AH194">
        <v>353.10489569662644</v>
      </c>
      <c r="AI194" t="s">
        <v>47</v>
      </c>
      <c r="AJ194" t="s">
        <v>104</v>
      </c>
      <c r="AK194">
        <v>1239.2769741190828</v>
      </c>
      <c r="AL194" t="s">
        <v>105</v>
      </c>
      <c r="AM194" s="41" t="s">
        <v>482</v>
      </c>
    </row>
    <row r="195" spans="1:45" hidden="1">
      <c r="A195">
        <v>2610802947</v>
      </c>
      <c r="B195">
        <v>1144011400</v>
      </c>
      <c r="C195" t="s">
        <v>134</v>
      </c>
      <c r="D195" t="s">
        <v>0</v>
      </c>
      <c r="E195" t="s">
        <v>94</v>
      </c>
      <c r="F195" t="s">
        <v>135</v>
      </c>
      <c r="G195">
        <v>1</v>
      </c>
      <c r="H195">
        <v>3</v>
      </c>
      <c r="I195">
        <v>60000</v>
      </c>
      <c r="J195">
        <v>0</v>
      </c>
      <c r="K195" t="s">
        <v>345</v>
      </c>
      <c r="L195">
        <v>39</v>
      </c>
      <c r="M195">
        <v>11</v>
      </c>
      <c r="N195">
        <v>5454</v>
      </c>
      <c r="O195">
        <v>32.67</v>
      </c>
      <c r="P195">
        <v>9</v>
      </c>
      <c r="Q195">
        <v>6667</v>
      </c>
      <c r="R195" t="s">
        <v>161</v>
      </c>
      <c r="S195" s="40">
        <v>46079</v>
      </c>
      <c r="T195">
        <v>37.553373000000001</v>
      </c>
      <c r="U195">
        <v>126.93097899999999</v>
      </c>
      <c r="V195" t="s">
        <v>583</v>
      </c>
      <c r="W195" t="s">
        <v>584</v>
      </c>
      <c r="X195">
        <v>1</v>
      </c>
      <c r="Y195">
        <v>0</v>
      </c>
      <c r="Z195">
        <v>0</v>
      </c>
      <c r="AA195" t="s">
        <v>139</v>
      </c>
      <c r="AB195" t="s">
        <v>585</v>
      </c>
      <c r="AC195">
        <v>60000</v>
      </c>
      <c r="AD195">
        <v>0</v>
      </c>
      <c r="AE195" t="s">
        <v>101</v>
      </c>
      <c r="AF195" t="s">
        <v>475</v>
      </c>
      <c r="AG195" t="s">
        <v>476</v>
      </c>
      <c r="AH195">
        <v>499.0915895587475</v>
      </c>
      <c r="AI195" t="s">
        <v>47</v>
      </c>
      <c r="AJ195" t="s">
        <v>104</v>
      </c>
      <c r="AK195">
        <v>1426.9861087003221</v>
      </c>
      <c r="AL195" t="s">
        <v>105</v>
      </c>
      <c r="AM195" s="41" t="s">
        <v>586</v>
      </c>
    </row>
    <row r="196" spans="1:45">
      <c r="A196">
        <v>2611397558</v>
      </c>
      <c r="B196">
        <v>1144012000</v>
      </c>
      <c r="C196" t="s">
        <v>211</v>
      </c>
      <c r="D196" t="s">
        <v>0</v>
      </c>
      <c r="E196" t="s">
        <v>94</v>
      </c>
      <c r="F196" t="s">
        <v>95</v>
      </c>
      <c r="G196">
        <v>3</v>
      </c>
      <c r="H196">
        <v>10</v>
      </c>
      <c r="I196">
        <v>110000</v>
      </c>
      <c r="J196">
        <v>0</v>
      </c>
      <c r="K196" t="s">
        <v>229</v>
      </c>
      <c r="L196">
        <v>120</v>
      </c>
      <c r="M196">
        <v>36</v>
      </c>
      <c r="N196">
        <v>3055</v>
      </c>
      <c r="O196">
        <v>74.5</v>
      </c>
      <c r="P196">
        <v>22</v>
      </c>
      <c r="Q196">
        <v>5000</v>
      </c>
      <c r="R196" t="s">
        <v>208</v>
      </c>
      <c r="S196" s="40">
        <v>46084</v>
      </c>
      <c r="T196">
        <v>37.552424000000002</v>
      </c>
      <c r="U196">
        <v>126.91909699999999</v>
      </c>
      <c r="V196" t="s">
        <v>265</v>
      </c>
      <c r="W196" t="s">
        <v>266</v>
      </c>
      <c r="X196">
        <v>1</v>
      </c>
      <c r="Y196">
        <v>0</v>
      </c>
      <c r="Z196">
        <v>0</v>
      </c>
      <c r="AA196" t="s">
        <v>99</v>
      </c>
      <c r="AB196" t="s">
        <v>267</v>
      </c>
      <c r="AC196">
        <v>110000</v>
      </c>
      <c r="AD196">
        <v>0</v>
      </c>
      <c r="AE196" t="s">
        <v>101</v>
      </c>
      <c r="AF196" t="s">
        <v>115</v>
      </c>
      <c r="AG196" t="s">
        <v>116</v>
      </c>
      <c r="AH196">
        <v>558.94798415544108</v>
      </c>
      <c r="AI196" t="s">
        <v>47</v>
      </c>
      <c r="AJ196" t="s">
        <v>104</v>
      </c>
      <c r="AK196">
        <v>232.85385106390223</v>
      </c>
      <c r="AL196">
        <v>1</v>
      </c>
      <c r="AM196" s="41" t="s">
        <v>268</v>
      </c>
      <c r="AN196">
        <f>IFERROR(VALUE(LEFT($W196,FIND("년",$W196)-1)),"")</f>
        <v>4</v>
      </c>
      <c r="AO196" t="str">
        <f>IFERROR(IF(FIND("년",$W196)=3,MID($W196,FIND("년",$W196)+1,FIND("년",$W196)-1),MID($W196,FIND("년",$W196)+1,FIND("년",$W196))),"")</f>
        <v>이내</v>
      </c>
      <c r="AP196">
        <f>IFERROR(IF($AN196&lt;11,10,IF(AND($AN196&lt;26,$AO196="이내"),25,26)),"")</f>
        <v>10</v>
      </c>
      <c r="AQ196">
        <f>IFERROR(IF($P196&lt;10,9,IF($P196&lt;20,10,IF($P196&lt;30,20,IF($P196&lt;40,30,40)))),"")</f>
        <v>20</v>
      </c>
      <c r="AR196" t="str">
        <f>IFERROR(IF($D196="상가",IF($G196="1","1층",IF($G196="전체층","전체층",IF(LEFT($G196,1)="B","B1",IF($G196&lt;6,"저",IF($G196/$H196&lt;=$BC$9,"저",IF($G196/$H196&lt;=$BC$10,"중","고")))))),IF(LEFT($G196,1)="B","B1",IF($H196&lt;6,"저",IF($G196/$H196&lt;=$BC$2,"저",IF($G196/$H196&lt;=$BC$3,"중","고"))))),"")</f>
        <v>저</v>
      </c>
      <c r="AS196">
        <f>IFERROR(ACOS(SIN(RADIANS(거래사례!$S$11))*SIN(RADIANS($T196))+COS(RADIANS(거래사례!$S$11))*COS(RADIANS($T196))*COS(RADIANS($U196-거래사례!$P$11)))*6371000,"")</f>
        <v>1208.6579868311039</v>
      </c>
    </row>
    <row r="197" spans="1:45" hidden="1">
      <c r="A197">
        <v>2608679580</v>
      </c>
      <c r="B197">
        <v>1144012000</v>
      </c>
      <c r="C197" t="s">
        <v>134</v>
      </c>
      <c r="D197" t="s">
        <v>0</v>
      </c>
      <c r="E197" t="s">
        <v>94</v>
      </c>
      <c r="F197" t="s">
        <v>244</v>
      </c>
      <c r="G197">
        <v>1</v>
      </c>
      <c r="H197">
        <v>2</v>
      </c>
      <c r="I197">
        <v>110000</v>
      </c>
      <c r="J197">
        <v>0</v>
      </c>
      <c r="K197" t="s">
        <v>229</v>
      </c>
      <c r="L197">
        <v>120</v>
      </c>
      <c r="M197">
        <v>36</v>
      </c>
      <c r="N197">
        <v>3055</v>
      </c>
      <c r="O197">
        <v>54.41</v>
      </c>
      <c r="P197">
        <v>16</v>
      </c>
      <c r="Q197">
        <v>6875</v>
      </c>
      <c r="R197" t="s">
        <v>96</v>
      </c>
      <c r="S197" s="40">
        <v>46066</v>
      </c>
      <c r="T197">
        <v>37.550941999999999</v>
      </c>
      <c r="U197">
        <v>126.913787</v>
      </c>
      <c r="W197" t="s">
        <v>205</v>
      </c>
      <c r="X197">
        <v>1</v>
      </c>
      <c r="Y197">
        <v>0</v>
      </c>
      <c r="Z197">
        <v>0</v>
      </c>
      <c r="AA197" t="s">
        <v>247</v>
      </c>
      <c r="AB197" t="s">
        <v>248</v>
      </c>
      <c r="AC197">
        <v>110000</v>
      </c>
      <c r="AD197">
        <v>0</v>
      </c>
      <c r="AE197" t="s">
        <v>101</v>
      </c>
      <c r="AF197" t="s">
        <v>115</v>
      </c>
      <c r="AG197" t="s">
        <v>116</v>
      </c>
      <c r="AH197">
        <v>132.09524505029225</v>
      </c>
      <c r="AI197" t="s">
        <v>47</v>
      </c>
      <c r="AJ197" t="s">
        <v>104</v>
      </c>
      <c r="AK197">
        <v>528.49483569447079</v>
      </c>
      <c r="AL197">
        <v>1</v>
      </c>
      <c r="AM197" s="41" t="s">
        <v>178</v>
      </c>
    </row>
    <row r="198" spans="1:45" hidden="1">
      <c r="A198">
        <v>2611909914</v>
      </c>
      <c r="B198">
        <v>1144011100</v>
      </c>
      <c r="C198" t="s">
        <v>134</v>
      </c>
      <c r="D198" t="s">
        <v>0</v>
      </c>
      <c r="E198" t="s">
        <v>94</v>
      </c>
      <c r="F198" t="s">
        <v>135</v>
      </c>
      <c r="G198">
        <v>1</v>
      </c>
      <c r="H198">
        <v>1</v>
      </c>
      <c r="I198">
        <v>77000</v>
      </c>
      <c r="J198">
        <v>0</v>
      </c>
      <c r="K198" t="s">
        <v>576</v>
      </c>
      <c r="L198">
        <v>72</v>
      </c>
      <c r="M198">
        <v>21</v>
      </c>
      <c r="N198">
        <v>3666</v>
      </c>
      <c r="O198">
        <v>38.479999999999997</v>
      </c>
      <c r="P198">
        <v>11</v>
      </c>
      <c r="Q198">
        <v>7000</v>
      </c>
      <c r="R198" t="s">
        <v>154</v>
      </c>
      <c r="S198" s="40">
        <v>46085</v>
      </c>
      <c r="T198">
        <v>37.551087000000003</v>
      </c>
      <c r="U198">
        <v>126.934427</v>
      </c>
      <c r="V198" t="s">
        <v>587</v>
      </c>
      <c r="W198" t="s">
        <v>405</v>
      </c>
      <c r="X198">
        <v>1</v>
      </c>
      <c r="Y198">
        <v>0</v>
      </c>
      <c r="Z198">
        <v>0</v>
      </c>
      <c r="AA198" t="s">
        <v>176</v>
      </c>
      <c r="AB198" t="s">
        <v>480</v>
      </c>
      <c r="AC198">
        <v>77000</v>
      </c>
      <c r="AD198">
        <v>0</v>
      </c>
      <c r="AE198" t="s">
        <v>101</v>
      </c>
      <c r="AF198" t="s">
        <v>475</v>
      </c>
      <c r="AG198" t="s">
        <v>476</v>
      </c>
      <c r="AH198">
        <v>164.32942527335157</v>
      </c>
      <c r="AI198" t="s">
        <v>47</v>
      </c>
      <c r="AJ198" t="s">
        <v>104</v>
      </c>
      <c r="AK198">
        <v>1272.2165016406389</v>
      </c>
      <c r="AL198" t="s">
        <v>105</v>
      </c>
      <c r="AM198" s="41" t="s">
        <v>524</v>
      </c>
    </row>
    <row r="199" spans="1:45" hidden="1">
      <c r="A199">
        <v>2611509427</v>
      </c>
      <c r="B199">
        <v>1144011100</v>
      </c>
      <c r="C199" t="s">
        <v>134</v>
      </c>
      <c r="D199" t="s">
        <v>0</v>
      </c>
      <c r="E199" t="s">
        <v>94</v>
      </c>
      <c r="F199" t="s">
        <v>135</v>
      </c>
      <c r="G199">
        <v>1</v>
      </c>
      <c r="H199">
        <v>1</v>
      </c>
      <c r="I199">
        <v>77000</v>
      </c>
      <c r="J199">
        <v>0</v>
      </c>
      <c r="K199" t="s">
        <v>576</v>
      </c>
      <c r="L199">
        <v>72</v>
      </c>
      <c r="M199">
        <v>21</v>
      </c>
      <c r="N199">
        <v>3666</v>
      </c>
      <c r="O199">
        <v>38.479999999999997</v>
      </c>
      <c r="P199">
        <v>11</v>
      </c>
      <c r="Q199">
        <v>7000</v>
      </c>
      <c r="R199" t="s">
        <v>154</v>
      </c>
      <c r="S199" s="40">
        <v>46083</v>
      </c>
      <c r="T199">
        <v>37.551087000000003</v>
      </c>
      <c r="U199">
        <v>126.934427</v>
      </c>
      <c r="V199" t="s">
        <v>588</v>
      </c>
      <c r="W199" t="s">
        <v>405</v>
      </c>
      <c r="X199">
        <v>3</v>
      </c>
      <c r="Y199" t="s">
        <v>576</v>
      </c>
      <c r="Z199" t="s">
        <v>576</v>
      </c>
      <c r="AA199" t="s">
        <v>139</v>
      </c>
      <c r="AB199" t="s">
        <v>589</v>
      </c>
      <c r="AC199">
        <v>77000</v>
      </c>
      <c r="AD199">
        <v>0</v>
      </c>
      <c r="AE199" t="s">
        <v>101</v>
      </c>
      <c r="AF199" t="s">
        <v>475</v>
      </c>
      <c r="AG199" t="s">
        <v>476</v>
      </c>
      <c r="AH199">
        <v>164.32942527335157</v>
      </c>
      <c r="AI199" t="s">
        <v>47</v>
      </c>
      <c r="AJ199" t="s">
        <v>104</v>
      </c>
      <c r="AK199">
        <v>1272.2165016406389</v>
      </c>
      <c r="AL199" t="s">
        <v>105</v>
      </c>
      <c r="AM199" s="41" t="s">
        <v>524</v>
      </c>
    </row>
    <row r="200" spans="1:45" hidden="1">
      <c r="A200">
        <v>2608803741</v>
      </c>
      <c r="B200">
        <v>1144011100</v>
      </c>
      <c r="C200" t="s">
        <v>134</v>
      </c>
      <c r="D200" t="s">
        <v>0</v>
      </c>
      <c r="E200" t="s">
        <v>94</v>
      </c>
      <c r="F200" t="s">
        <v>135</v>
      </c>
      <c r="G200">
        <v>1</v>
      </c>
      <c r="H200">
        <v>1</v>
      </c>
      <c r="I200">
        <v>77000</v>
      </c>
      <c r="J200">
        <v>0</v>
      </c>
      <c r="K200" t="s">
        <v>576</v>
      </c>
      <c r="L200">
        <v>72</v>
      </c>
      <c r="M200">
        <v>21</v>
      </c>
      <c r="N200">
        <v>3666</v>
      </c>
      <c r="O200">
        <v>38.479999999999997</v>
      </c>
      <c r="P200">
        <v>11</v>
      </c>
      <c r="Q200">
        <v>7000</v>
      </c>
      <c r="S200" s="40">
        <v>46067</v>
      </c>
      <c r="T200">
        <v>37.551091999999997</v>
      </c>
      <c r="U200">
        <v>126.934428</v>
      </c>
      <c r="V200" t="s">
        <v>590</v>
      </c>
      <c r="W200" t="s">
        <v>591</v>
      </c>
      <c r="X200">
        <v>1</v>
      </c>
      <c r="Y200">
        <v>0</v>
      </c>
      <c r="Z200">
        <v>0</v>
      </c>
      <c r="AA200" t="s">
        <v>176</v>
      </c>
      <c r="AB200" t="s">
        <v>592</v>
      </c>
      <c r="AC200">
        <v>77000</v>
      </c>
      <c r="AD200">
        <v>0</v>
      </c>
      <c r="AE200" t="s">
        <v>101</v>
      </c>
      <c r="AF200" t="s">
        <v>475</v>
      </c>
      <c r="AG200" t="s">
        <v>476</v>
      </c>
      <c r="AH200">
        <v>163.81954637736581</v>
      </c>
      <c r="AI200" t="s">
        <v>47</v>
      </c>
      <c r="AJ200" t="s">
        <v>104</v>
      </c>
      <c r="AK200">
        <v>1271.8041472437619</v>
      </c>
      <c r="AL200" t="s">
        <v>105</v>
      </c>
      <c r="AM200" s="41" t="s">
        <v>524</v>
      </c>
    </row>
    <row r="201" spans="1:45" hidden="1">
      <c r="A201">
        <v>2607335393</v>
      </c>
      <c r="B201">
        <v>1144011100</v>
      </c>
      <c r="C201" t="s">
        <v>93</v>
      </c>
      <c r="D201" t="s">
        <v>0</v>
      </c>
      <c r="E201" t="s">
        <v>94</v>
      </c>
      <c r="F201" t="s">
        <v>108</v>
      </c>
      <c r="G201">
        <v>1</v>
      </c>
      <c r="H201">
        <v>1</v>
      </c>
      <c r="I201">
        <v>77000</v>
      </c>
      <c r="J201">
        <v>0</v>
      </c>
      <c r="K201" t="s">
        <v>576</v>
      </c>
      <c r="L201">
        <v>72</v>
      </c>
      <c r="M201">
        <v>21</v>
      </c>
      <c r="N201">
        <v>3666</v>
      </c>
      <c r="O201">
        <v>38.479999999999997</v>
      </c>
      <c r="P201">
        <v>11</v>
      </c>
      <c r="Q201">
        <v>7000</v>
      </c>
      <c r="R201" t="s">
        <v>154</v>
      </c>
      <c r="S201" s="40">
        <v>46059</v>
      </c>
      <c r="T201">
        <v>37.551091999999997</v>
      </c>
      <c r="U201">
        <v>126.934428</v>
      </c>
      <c r="V201" t="s">
        <v>593</v>
      </c>
      <c r="W201" t="s">
        <v>594</v>
      </c>
      <c r="X201">
        <v>1</v>
      </c>
      <c r="Y201">
        <v>0</v>
      </c>
      <c r="Z201">
        <v>0</v>
      </c>
      <c r="AA201" t="s">
        <v>328</v>
      </c>
      <c r="AB201" t="s">
        <v>595</v>
      </c>
      <c r="AC201">
        <v>77000</v>
      </c>
      <c r="AD201">
        <v>0</v>
      </c>
      <c r="AE201" t="s">
        <v>101</v>
      </c>
      <c r="AF201" t="s">
        <v>475</v>
      </c>
      <c r="AG201" t="s">
        <v>476</v>
      </c>
      <c r="AH201">
        <v>163.81954637736581</v>
      </c>
      <c r="AI201" t="s">
        <v>47</v>
      </c>
      <c r="AJ201" t="s">
        <v>104</v>
      </c>
      <c r="AK201">
        <v>1271.8041472437619</v>
      </c>
      <c r="AL201" t="s">
        <v>105</v>
      </c>
      <c r="AM201" s="41" t="s">
        <v>524</v>
      </c>
    </row>
    <row r="202" spans="1:45" hidden="1">
      <c r="A202">
        <v>2606287748</v>
      </c>
      <c r="B202">
        <v>1144011100</v>
      </c>
      <c r="C202" t="s">
        <v>134</v>
      </c>
      <c r="D202" t="s">
        <v>0</v>
      </c>
      <c r="E202" t="s">
        <v>94</v>
      </c>
      <c r="F202" t="s">
        <v>135</v>
      </c>
      <c r="G202">
        <v>1</v>
      </c>
      <c r="H202">
        <v>1</v>
      </c>
      <c r="I202">
        <v>77000</v>
      </c>
      <c r="J202">
        <v>0</v>
      </c>
      <c r="K202" t="s">
        <v>576</v>
      </c>
      <c r="L202">
        <v>75</v>
      </c>
      <c r="M202">
        <v>22</v>
      </c>
      <c r="N202">
        <v>3500</v>
      </c>
      <c r="O202">
        <v>38.479999999999997</v>
      </c>
      <c r="P202">
        <v>11</v>
      </c>
      <c r="Q202">
        <v>7000</v>
      </c>
      <c r="R202" t="s">
        <v>136</v>
      </c>
      <c r="S202" s="40">
        <v>46055</v>
      </c>
      <c r="T202">
        <v>37.551091999999997</v>
      </c>
      <c r="U202">
        <v>126.934428</v>
      </c>
      <c r="V202" t="s">
        <v>596</v>
      </c>
      <c r="W202" t="s">
        <v>401</v>
      </c>
      <c r="X202">
        <v>1</v>
      </c>
      <c r="Y202">
        <v>0</v>
      </c>
      <c r="Z202">
        <v>0</v>
      </c>
      <c r="AA202" t="s">
        <v>113</v>
      </c>
      <c r="AB202" t="s">
        <v>523</v>
      </c>
      <c r="AC202">
        <v>77000</v>
      </c>
      <c r="AD202">
        <v>0</v>
      </c>
      <c r="AE202" t="s">
        <v>101</v>
      </c>
      <c r="AF202" t="s">
        <v>475</v>
      </c>
      <c r="AG202" t="s">
        <v>476</v>
      </c>
      <c r="AH202">
        <v>163.81954637736581</v>
      </c>
      <c r="AI202" t="s">
        <v>47</v>
      </c>
      <c r="AJ202" t="s">
        <v>104</v>
      </c>
      <c r="AK202">
        <v>1271.8041472437619</v>
      </c>
      <c r="AL202" t="s">
        <v>105</v>
      </c>
      <c r="AM202" s="41" t="s">
        <v>524</v>
      </c>
    </row>
    <row r="203" spans="1:45">
      <c r="A203">
        <v>2611397558</v>
      </c>
      <c r="B203">
        <v>1144012000</v>
      </c>
      <c r="C203" t="s">
        <v>211</v>
      </c>
      <c r="D203" t="s">
        <v>0</v>
      </c>
      <c r="E203" t="s">
        <v>94</v>
      </c>
      <c r="F203" t="s">
        <v>95</v>
      </c>
      <c r="G203">
        <v>3</v>
      </c>
      <c r="H203">
        <v>10</v>
      </c>
      <c r="I203">
        <v>110000</v>
      </c>
      <c r="J203">
        <v>0</v>
      </c>
      <c r="K203" t="s">
        <v>229</v>
      </c>
      <c r="L203">
        <v>120</v>
      </c>
      <c r="M203">
        <v>36</v>
      </c>
      <c r="N203">
        <v>3055</v>
      </c>
      <c r="O203">
        <v>74.5</v>
      </c>
      <c r="P203">
        <v>22</v>
      </c>
      <c r="Q203">
        <v>5000</v>
      </c>
      <c r="R203" t="s">
        <v>208</v>
      </c>
      <c r="S203" s="40">
        <v>46084</v>
      </c>
      <c r="T203">
        <v>37.552424000000002</v>
      </c>
      <c r="U203">
        <v>126.91909699999999</v>
      </c>
      <c r="V203" t="s">
        <v>265</v>
      </c>
      <c r="W203" t="s">
        <v>266</v>
      </c>
      <c r="X203">
        <v>1</v>
      </c>
      <c r="Y203">
        <v>0</v>
      </c>
      <c r="Z203">
        <v>0</v>
      </c>
      <c r="AA203" t="s">
        <v>99</v>
      </c>
      <c r="AB203" t="s">
        <v>267</v>
      </c>
      <c r="AC203">
        <v>110000</v>
      </c>
      <c r="AD203">
        <v>0</v>
      </c>
      <c r="AE203" t="s">
        <v>101</v>
      </c>
      <c r="AF203" t="s">
        <v>115</v>
      </c>
      <c r="AG203" t="s">
        <v>116</v>
      </c>
      <c r="AH203">
        <v>558.94798415544108</v>
      </c>
      <c r="AI203" t="s">
        <v>47</v>
      </c>
      <c r="AJ203" t="s">
        <v>104</v>
      </c>
      <c r="AK203">
        <v>232.85385106390223</v>
      </c>
      <c r="AL203">
        <v>1</v>
      </c>
      <c r="AM203" s="41" t="s">
        <v>268</v>
      </c>
      <c r="AN203">
        <f>IFERROR(VALUE(LEFT($W203,FIND("년",$W203)-1)),"")</f>
        <v>4</v>
      </c>
      <c r="AO203" t="str">
        <f>IFERROR(IF(FIND("년",$W203)=3,MID($W203,FIND("년",$W203)+1,FIND("년",$W203)-1),MID($W203,FIND("년",$W203)+1,FIND("년",$W203))),"")</f>
        <v>이내</v>
      </c>
      <c r="AP203">
        <f>IFERROR(IF($AN203&lt;11,10,IF(AND($AN203&lt;26,$AO203="이내"),25,26)),"")</f>
        <v>10</v>
      </c>
      <c r="AQ203">
        <f>IFERROR(IF($P203&lt;10,9,IF($P203&lt;20,10,IF($P203&lt;30,20,IF($P203&lt;40,30,40)))),"")</f>
        <v>20</v>
      </c>
      <c r="AR203" t="str">
        <f>IFERROR(IF($D203="상가",IF($G203="1","1층",IF($G203="전체층","전체층",IF(LEFT($G203,1)="B","B1",IF($G203&lt;6,"저",IF($G203/$H203&lt;=$BC$9,"저",IF($G203/$H203&lt;=$BC$10,"중","고")))))),IF(LEFT($G203,1)="B","B1",IF($H203&lt;6,"저",IF($G203/$H203&lt;=$BC$2,"저",IF($G203/$H203&lt;=$BC$3,"중","고"))))),"")</f>
        <v>저</v>
      </c>
      <c r="AS203">
        <f>IFERROR(ACOS(SIN(RADIANS(거래사례!$S$11))*SIN(RADIANS($T203))+COS(RADIANS(거래사례!$S$11))*COS(RADIANS($T203))*COS(RADIANS($U203-거래사례!$P$11)))*6371000,"")</f>
        <v>1208.6579868311039</v>
      </c>
    </row>
    <row r="204" spans="1:45" hidden="1">
      <c r="A204">
        <v>2609555151</v>
      </c>
      <c r="B204">
        <v>1144011100</v>
      </c>
      <c r="C204" t="s">
        <v>134</v>
      </c>
      <c r="D204" t="s">
        <v>0</v>
      </c>
      <c r="E204" t="s">
        <v>94</v>
      </c>
      <c r="F204" t="s">
        <v>135</v>
      </c>
      <c r="G204">
        <v>1</v>
      </c>
      <c r="H204">
        <v>1</v>
      </c>
      <c r="I204">
        <v>78000</v>
      </c>
      <c r="J204">
        <v>0</v>
      </c>
      <c r="K204" t="s">
        <v>580</v>
      </c>
      <c r="L204">
        <v>68</v>
      </c>
      <c r="M204">
        <v>20</v>
      </c>
      <c r="N204">
        <v>3900</v>
      </c>
      <c r="O204">
        <v>38.56</v>
      </c>
      <c r="P204">
        <v>11</v>
      </c>
      <c r="Q204">
        <v>7091</v>
      </c>
      <c r="R204" t="s">
        <v>154</v>
      </c>
      <c r="S204" s="40">
        <v>46073</v>
      </c>
      <c r="T204">
        <v>37.551091999999997</v>
      </c>
      <c r="U204">
        <v>126.934428</v>
      </c>
      <c r="V204" t="s">
        <v>597</v>
      </c>
      <c r="W204" t="s">
        <v>598</v>
      </c>
      <c r="X204">
        <v>1</v>
      </c>
      <c r="Y204">
        <v>0</v>
      </c>
      <c r="Z204">
        <v>0</v>
      </c>
      <c r="AA204" t="s">
        <v>176</v>
      </c>
      <c r="AB204" t="s">
        <v>599</v>
      </c>
      <c r="AC204">
        <v>78000</v>
      </c>
      <c r="AD204">
        <v>0</v>
      </c>
      <c r="AE204" t="s">
        <v>101</v>
      </c>
      <c r="AF204" t="s">
        <v>475</v>
      </c>
      <c r="AG204" t="s">
        <v>476</v>
      </c>
      <c r="AH204">
        <v>163.81954637736581</v>
      </c>
      <c r="AI204" t="s">
        <v>47</v>
      </c>
      <c r="AJ204" t="s">
        <v>104</v>
      </c>
      <c r="AK204">
        <v>1271.8041472437619</v>
      </c>
      <c r="AL204" t="s">
        <v>105</v>
      </c>
      <c r="AM204" s="41" t="s">
        <v>524</v>
      </c>
    </row>
    <row r="205" spans="1:45" hidden="1">
      <c r="A205">
        <v>2610774681</v>
      </c>
      <c r="B205">
        <v>1144011100</v>
      </c>
      <c r="C205" t="s">
        <v>134</v>
      </c>
      <c r="D205" t="s">
        <v>0</v>
      </c>
      <c r="E205" t="s">
        <v>94</v>
      </c>
      <c r="F205" t="s">
        <v>135</v>
      </c>
      <c r="G205">
        <v>1</v>
      </c>
      <c r="H205">
        <v>1</v>
      </c>
      <c r="I205">
        <v>80000</v>
      </c>
      <c r="J205">
        <v>0</v>
      </c>
      <c r="K205" t="s">
        <v>372</v>
      </c>
      <c r="L205">
        <v>72</v>
      </c>
      <c r="M205">
        <v>21</v>
      </c>
      <c r="N205">
        <v>3809</v>
      </c>
      <c r="O205">
        <v>38.479999999999997</v>
      </c>
      <c r="P205">
        <v>11</v>
      </c>
      <c r="Q205">
        <v>7273</v>
      </c>
      <c r="R205" t="s">
        <v>161</v>
      </c>
      <c r="S205" s="40">
        <v>46079</v>
      </c>
      <c r="T205">
        <v>37.551087000000003</v>
      </c>
      <c r="U205">
        <v>126.934427</v>
      </c>
      <c r="V205" t="s">
        <v>600</v>
      </c>
      <c r="W205" t="s">
        <v>405</v>
      </c>
      <c r="X205">
        <v>1</v>
      </c>
      <c r="Y205">
        <v>0</v>
      </c>
      <c r="Z205">
        <v>0</v>
      </c>
      <c r="AA205" t="s">
        <v>99</v>
      </c>
      <c r="AB205" t="s">
        <v>552</v>
      </c>
      <c r="AC205">
        <v>80000</v>
      </c>
      <c r="AD205">
        <v>0</v>
      </c>
      <c r="AE205" t="s">
        <v>101</v>
      </c>
      <c r="AF205" t="s">
        <v>475</v>
      </c>
      <c r="AG205" t="s">
        <v>476</v>
      </c>
      <c r="AH205">
        <v>164.32942527335157</v>
      </c>
      <c r="AI205" t="s">
        <v>47</v>
      </c>
      <c r="AJ205" t="s">
        <v>104</v>
      </c>
      <c r="AK205">
        <v>1272.2165016406389</v>
      </c>
      <c r="AL205" t="s">
        <v>105</v>
      </c>
      <c r="AM205" s="41" t="s">
        <v>524</v>
      </c>
    </row>
    <row r="206" spans="1:45" hidden="1">
      <c r="A206">
        <v>2609794568</v>
      </c>
      <c r="B206">
        <v>1144011100</v>
      </c>
      <c r="C206" t="s">
        <v>134</v>
      </c>
      <c r="D206" t="s">
        <v>0</v>
      </c>
      <c r="E206" t="s">
        <v>94</v>
      </c>
      <c r="F206" t="s">
        <v>135</v>
      </c>
      <c r="G206">
        <v>1</v>
      </c>
      <c r="H206">
        <v>1</v>
      </c>
      <c r="I206">
        <v>80000</v>
      </c>
      <c r="J206">
        <v>0</v>
      </c>
      <c r="K206" t="s">
        <v>372</v>
      </c>
      <c r="L206">
        <v>72</v>
      </c>
      <c r="M206">
        <v>21</v>
      </c>
      <c r="N206">
        <v>3809</v>
      </c>
      <c r="O206">
        <v>38.479999999999997</v>
      </c>
      <c r="P206">
        <v>11</v>
      </c>
      <c r="Q206">
        <v>7273</v>
      </c>
      <c r="R206" t="s">
        <v>161</v>
      </c>
      <c r="S206" s="40">
        <v>46074</v>
      </c>
      <c r="T206">
        <v>37.551091999999997</v>
      </c>
      <c r="U206">
        <v>126.934428</v>
      </c>
      <c r="V206" t="s">
        <v>601</v>
      </c>
      <c r="W206" t="s">
        <v>405</v>
      </c>
      <c r="X206">
        <v>1</v>
      </c>
      <c r="Y206">
        <v>0</v>
      </c>
      <c r="Z206">
        <v>0</v>
      </c>
      <c r="AA206" t="s">
        <v>113</v>
      </c>
      <c r="AB206" t="s">
        <v>552</v>
      </c>
      <c r="AC206">
        <v>80000</v>
      </c>
      <c r="AD206">
        <v>0</v>
      </c>
      <c r="AE206" t="s">
        <v>101</v>
      </c>
      <c r="AF206" t="s">
        <v>475</v>
      </c>
      <c r="AG206" t="s">
        <v>476</v>
      </c>
      <c r="AH206">
        <v>163.81954637736581</v>
      </c>
      <c r="AI206" t="s">
        <v>47</v>
      </c>
      <c r="AJ206" t="s">
        <v>104</v>
      </c>
      <c r="AK206">
        <v>1271.8041472437619</v>
      </c>
      <c r="AL206" t="s">
        <v>105</v>
      </c>
      <c r="AM206" s="41" t="s">
        <v>524</v>
      </c>
    </row>
    <row r="207" spans="1:45" hidden="1">
      <c r="A207">
        <v>2611911326</v>
      </c>
      <c r="B207">
        <v>1144011400</v>
      </c>
      <c r="C207" t="s">
        <v>134</v>
      </c>
      <c r="D207" t="s">
        <v>0</v>
      </c>
      <c r="E207" t="s">
        <v>94</v>
      </c>
      <c r="F207" t="s">
        <v>135</v>
      </c>
      <c r="G207">
        <v>1</v>
      </c>
      <c r="H207">
        <v>2</v>
      </c>
      <c r="I207">
        <v>110000</v>
      </c>
      <c r="J207">
        <v>0</v>
      </c>
      <c r="K207" t="s">
        <v>229</v>
      </c>
      <c r="L207">
        <v>50</v>
      </c>
      <c r="M207">
        <v>15</v>
      </c>
      <c r="N207">
        <v>7333</v>
      </c>
      <c r="O207">
        <v>50.9</v>
      </c>
      <c r="P207">
        <v>15</v>
      </c>
      <c r="Q207">
        <v>7333</v>
      </c>
      <c r="R207" t="s">
        <v>145</v>
      </c>
      <c r="S207" s="40">
        <v>46085</v>
      </c>
      <c r="T207">
        <v>37.548369000000001</v>
      </c>
      <c r="U207">
        <v>126.92944799999999</v>
      </c>
      <c r="V207" t="s">
        <v>602</v>
      </c>
      <c r="W207" t="s">
        <v>603</v>
      </c>
      <c r="X207">
        <v>1</v>
      </c>
      <c r="Y207">
        <v>0</v>
      </c>
      <c r="Z207">
        <v>0</v>
      </c>
      <c r="AA207" t="s">
        <v>176</v>
      </c>
      <c r="AB207" t="s">
        <v>480</v>
      </c>
      <c r="AC207">
        <v>110000</v>
      </c>
      <c r="AD207">
        <v>0</v>
      </c>
      <c r="AE207" t="s">
        <v>101</v>
      </c>
      <c r="AF207" t="s">
        <v>481</v>
      </c>
      <c r="AG207" t="s">
        <v>103</v>
      </c>
      <c r="AH207">
        <v>353.10489569662644</v>
      </c>
      <c r="AI207" t="s">
        <v>47</v>
      </c>
      <c r="AJ207" t="s">
        <v>104</v>
      </c>
      <c r="AK207">
        <v>1239.2769741190828</v>
      </c>
      <c r="AL207" t="s">
        <v>105</v>
      </c>
      <c r="AM207" s="41" t="s">
        <v>482</v>
      </c>
    </row>
    <row r="208" spans="1:45" hidden="1">
      <c r="A208">
        <v>2611577813</v>
      </c>
      <c r="B208">
        <v>1144011400</v>
      </c>
      <c r="C208" t="s">
        <v>134</v>
      </c>
      <c r="D208" t="s">
        <v>0</v>
      </c>
      <c r="E208" t="s">
        <v>94</v>
      </c>
      <c r="F208" t="s">
        <v>108</v>
      </c>
      <c r="G208">
        <v>1</v>
      </c>
      <c r="H208">
        <v>2</v>
      </c>
      <c r="I208">
        <v>110000</v>
      </c>
      <c r="J208">
        <v>0</v>
      </c>
      <c r="K208" t="s">
        <v>229</v>
      </c>
      <c r="L208">
        <v>70</v>
      </c>
      <c r="M208">
        <v>21</v>
      </c>
      <c r="N208">
        <v>5238</v>
      </c>
      <c r="O208">
        <v>50.9</v>
      </c>
      <c r="P208">
        <v>15</v>
      </c>
      <c r="Q208">
        <v>7333</v>
      </c>
      <c r="R208" t="s">
        <v>145</v>
      </c>
      <c r="S208" s="40">
        <v>46084</v>
      </c>
      <c r="T208">
        <v>37.548369000000001</v>
      </c>
      <c r="U208">
        <v>126.92944799999999</v>
      </c>
      <c r="V208" t="s">
        <v>604</v>
      </c>
      <c r="W208" t="s">
        <v>548</v>
      </c>
      <c r="X208">
        <v>1</v>
      </c>
      <c r="Y208">
        <v>0</v>
      </c>
      <c r="Z208">
        <v>0</v>
      </c>
      <c r="AA208" t="s">
        <v>113</v>
      </c>
      <c r="AB208" t="s">
        <v>605</v>
      </c>
      <c r="AC208">
        <v>110000</v>
      </c>
      <c r="AD208">
        <v>0</v>
      </c>
      <c r="AE208" t="s">
        <v>101</v>
      </c>
      <c r="AF208" t="s">
        <v>481</v>
      </c>
      <c r="AG208" t="s">
        <v>103</v>
      </c>
      <c r="AH208">
        <v>353.10489569662644</v>
      </c>
      <c r="AI208" t="s">
        <v>47</v>
      </c>
      <c r="AJ208" t="s">
        <v>104</v>
      </c>
      <c r="AK208">
        <v>1239.2769741190828</v>
      </c>
      <c r="AL208" t="s">
        <v>105</v>
      </c>
      <c r="AM208" s="41" t="s">
        <v>482</v>
      </c>
    </row>
    <row r="209" spans="1:45" hidden="1">
      <c r="A209">
        <v>2611213034</v>
      </c>
      <c r="B209">
        <v>1144011400</v>
      </c>
      <c r="C209" t="s">
        <v>134</v>
      </c>
      <c r="D209" t="s">
        <v>0</v>
      </c>
      <c r="E209" t="s">
        <v>94</v>
      </c>
      <c r="F209" t="s">
        <v>135</v>
      </c>
      <c r="G209">
        <v>1</v>
      </c>
      <c r="H209">
        <v>2</v>
      </c>
      <c r="I209">
        <v>110000</v>
      </c>
      <c r="J209">
        <v>0</v>
      </c>
      <c r="K209" t="s">
        <v>229</v>
      </c>
      <c r="L209">
        <v>78</v>
      </c>
      <c r="M209">
        <v>23</v>
      </c>
      <c r="N209">
        <v>4782</v>
      </c>
      <c r="O209">
        <v>50.9</v>
      </c>
      <c r="P209">
        <v>15</v>
      </c>
      <c r="Q209">
        <v>7333</v>
      </c>
      <c r="R209" t="s">
        <v>145</v>
      </c>
      <c r="S209" s="40">
        <v>46081</v>
      </c>
      <c r="T209">
        <v>37.548164999999997</v>
      </c>
      <c r="U209">
        <v>126.930981</v>
      </c>
      <c r="V209" t="s">
        <v>606</v>
      </c>
      <c r="W209" t="s">
        <v>603</v>
      </c>
      <c r="X209">
        <v>1</v>
      </c>
      <c r="Y209">
        <v>0</v>
      </c>
      <c r="Z209">
        <v>0</v>
      </c>
      <c r="AA209" t="s">
        <v>176</v>
      </c>
      <c r="AB209" t="s">
        <v>592</v>
      </c>
      <c r="AC209">
        <v>110000</v>
      </c>
      <c r="AD209">
        <v>0</v>
      </c>
      <c r="AE209" t="s">
        <v>101</v>
      </c>
      <c r="AF209" t="s">
        <v>481</v>
      </c>
      <c r="AG209" t="s">
        <v>103</v>
      </c>
      <c r="AH209">
        <v>185.69615376552326</v>
      </c>
      <c r="AI209" t="s">
        <v>47</v>
      </c>
      <c r="AJ209" t="s">
        <v>104</v>
      </c>
      <c r="AK209">
        <v>1411.2236073411825</v>
      </c>
      <c r="AL209" t="s">
        <v>105</v>
      </c>
      <c r="AM209" s="41" t="s">
        <v>482</v>
      </c>
    </row>
    <row r="210" spans="1:45" hidden="1">
      <c r="A210">
        <v>2609716030</v>
      </c>
      <c r="B210">
        <v>1144012000</v>
      </c>
      <c r="C210" t="s">
        <v>134</v>
      </c>
      <c r="D210" t="s">
        <v>0</v>
      </c>
      <c r="E210" t="s">
        <v>94</v>
      </c>
      <c r="F210" t="s">
        <v>108</v>
      </c>
      <c r="G210">
        <v>1</v>
      </c>
      <c r="H210">
        <v>24</v>
      </c>
      <c r="I210">
        <v>60000</v>
      </c>
      <c r="J210">
        <v>0</v>
      </c>
      <c r="K210" t="s">
        <v>345</v>
      </c>
      <c r="L210">
        <v>29</v>
      </c>
      <c r="M210">
        <v>8</v>
      </c>
      <c r="N210">
        <v>7500</v>
      </c>
      <c r="O210">
        <v>29.3</v>
      </c>
      <c r="P210">
        <v>8</v>
      </c>
      <c r="Q210">
        <v>7500</v>
      </c>
      <c r="R210" t="s">
        <v>145</v>
      </c>
      <c r="S210" s="40">
        <v>46074</v>
      </c>
      <c r="T210">
        <v>37.550803000000002</v>
      </c>
      <c r="U210">
        <v>126.91672199999999</v>
      </c>
      <c r="V210" t="s">
        <v>346</v>
      </c>
      <c r="W210" t="s">
        <v>347</v>
      </c>
      <c r="X210">
        <v>1</v>
      </c>
      <c r="Y210">
        <v>0</v>
      </c>
      <c r="Z210">
        <v>0</v>
      </c>
      <c r="AA210" t="s">
        <v>139</v>
      </c>
      <c r="AB210" t="s">
        <v>337</v>
      </c>
      <c r="AC210">
        <v>60000</v>
      </c>
      <c r="AD210">
        <v>0</v>
      </c>
      <c r="AE210" t="s">
        <v>101</v>
      </c>
      <c r="AF210" t="s">
        <v>115</v>
      </c>
      <c r="AG210" t="s">
        <v>116</v>
      </c>
      <c r="AH210">
        <v>244.27878031988089</v>
      </c>
      <c r="AI210" t="s">
        <v>47</v>
      </c>
      <c r="AJ210" t="s">
        <v>104</v>
      </c>
      <c r="AK210">
        <v>203.1206532669033</v>
      </c>
      <c r="AL210">
        <v>1</v>
      </c>
      <c r="AM210" s="41" t="s">
        <v>348</v>
      </c>
    </row>
    <row r="211" spans="1:45">
      <c r="A211">
        <v>2611397558</v>
      </c>
      <c r="B211">
        <v>1144012000</v>
      </c>
      <c r="C211" t="s">
        <v>211</v>
      </c>
      <c r="D211" t="s">
        <v>0</v>
      </c>
      <c r="E211" t="s">
        <v>94</v>
      </c>
      <c r="F211" t="s">
        <v>95</v>
      </c>
      <c r="G211">
        <v>3</v>
      </c>
      <c r="H211">
        <v>10</v>
      </c>
      <c r="I211">
        <v>110000</v>
      </c>
      <c r="J211">
        <v>0</v>
      </c>
      <c r="K211" t="s">
        <v>229</v>
      </c>
      <c r="L211">
        <v>120</v>
      </c>
      <c r="M211">
        <v>36</v>
      </c>
      <c r="N211">
        <v>3055</v>
      </c>
      <c r="O211">
        <v>74.5</v>
      </c>
      <c r="P211">
        <v>22</v>
      </c>
      <c r="Q211">
        <v>5000</v>
      </c>
      <c r="R211" t="s">
        <v>208</v>
      </c>
      <c r="S211" s="40">
        <v>46084</v>
      </c>
      <c r="T211">
        <v>37.552424000000002</v>
      </c>
      <c r="U211">
        <v>126.91909699999999</v>
      </c>
      <c r="V211" t="s">
        <v>265</v>
      </c>
      <c r="W211" t="s">
        <v>266</v>
      </c>
      <c r="X211">
        <v>1</v>
      </c>
      <c r="Y211">
        <v>0</v>
      </c>
      <c r="Z211">
        <v>0</v>
      </c>
      <c r="AA211" t="s">
        <v>99</v>
      </c>
      <c r="AB211" t="s">
        <v>267</v>
      </c>
      <c r="AC211">
        <v>110000</v>
      </c>
      <c r="AD211">
        <v>0</v>
      </c>
      <c r="AE211" t="s">
        <v>101</v>
      </c>
      <c r="AF211" t="s">
        <v>115</v>
      </c>
      <c r="AG211" t="s">
        <v>116</v>
      </c>
      <c r="AH211">
        <v>558.94798415544108</v>
      </c>
      <c r="AI211" t="s">
        <v>47</v>
      </c>
      <c r="AJ211" t="s">
        <v>104</v>
      </c>
      <c r="AK211">
        <v>232.85385106390223</v>
      </c>
      <c r="AL211">
        <v>1</v>
      </c>
      <c r="AM211" s="41" t="s">
        <v>268</v>
      </c>
      <c r="AN211">
        <f>IFERROR(VALUE(LEFT($W211,FIND("년",$W211)-1)),"")</f>
        <v>4</v>
      </c>
      <c r="AO211" t="str">
        <f>IFERROR(IF(FIND("년",$W211)=3,MID($W211,FIND("년",$W211)+1,FIND("년",$W211)-1),MID($W211,FIND("년",$W211)+1,FIND("년",$W211))),"")</f>
        <v>이내</v>
      </c>
      <c r="AP211">
        <f>IFERROR(IF($AN211&lt;11,10,IF(AND($AN211&lt;26,$AO211="이내"),25,26)),"")</f>
        <v>10</v>
      </c>
      <c r="AQ211">
        <f>IFERROR(IF($P211&lt;10,9,IF($P211&lt;20,10,IF($P211&lt;30,20,IF($P211&lt;40,30,40)))),"")</f>
        <v>20</v>
      </c>
      <c r="AR211" t="str">
        <f>IFERROR(IF($D211="상가",IF($G211="1","1층",IF($G211="전체층","전체층",IF(LEFT($G211,1)="B","B1",IF($G211&lt;6,"저",IF($G211/$H211&lt;=$BC$9,"저",IF($G211/$H211&lt;=$BC$10,"중","고")))))),IF(LEFT($G211,1)="B","B1",IF($H211&lt;6,"저",IF($G211/$H211&lt;=$BC$2,"저",IF($G211/$H211&lt;=$BC$3,"중","고"))))),"")</f>
        <v>저</v>
      </c>
      <c r="AS211">
        <f>IFERROR(ACOS(SIN(RADIANS(거래사례!$S$11))*SIN(RADIANS($T211))+COS(RADIANS(거래사례!$S$11))*COS(RADIANS($T211))*COS(RADIANS($U211-거래사례!$P$11)))*6371000,"")</f>
        <v>1208.6579868311039</v>
      </c>
    </row>
    <row r="212" spans="1:45" hidden="1">
      <c r="A212">
        <v>2606953485</v>
      </c>
      <c r="B212">
        <v>1144012000</v>
      </c>
      <c r="C212" t="s">
        <v>134</v>
      </c>
      <c r="D212" t="s">
        <v>0</v>
      </c>
      <c r="E212" t="s">
        <v>94</v>
      </c>
      <c r="F212" t="s">
        <v>95</v>
      </c>
      <c r="G212">
        <v>1</v>
      </c>
      <c r="H212">
        <v>24</v>
      </c>
      <c r="I212">
        <v>124000</v>
      </c>
      <c r="J212">
        <v>0</v>
      </c>
      <c r="K212" t="s">
        <v>351</v>
      </c>
      <c r="L212">
        <v>96</v>
      </c>
      <c r="M212">
        <v>29</v>
      </c>
      <c r="N212">
        <v>4275</v>
      </c>
      <c r="O212">
        <v>53.12</v>
      </c>
      <c r="P212">
        <v>16</v>
      </c>
      <c r="Q212">
        <v>7750</v>
      </c>
      <c r="R212" t="s">
        <v>145</v>
      </c>
      <c r="S212" s="40">
        <v>46058</v>
      </c>
      <c r="T212">
        <v>37.550803000000002</v>
      </c>
      <c r="U212">
        <v>126.91672199999999</v>
      </c>
      <c r="V212" t="s">
        <v>352</v>
      </c>
      <c r="W212" t="s">
        <v>347</v>
      </c>
      <c r="X212">
        <v>1</v>
      </c>
      <c r="Y212">
        <v>0</v>
      </c>
      <c r="Z212">
        <v>0</v>
      </c>
      <c r="AA212" t="s">
        <v>99</v>
      </c>
      <c r="AB212" t="s">
        <v>353</v>
      </c>
      <c r="AC212">
        <v>124000</v>
      </c>
      <c r="AD212">
        <v>0</v>
      </c>
      <c r="AE212" t="s">
        <v>101</v>
      </c>
      <c r="AF212" t="s">
        <v>115</v>
      </c>
      <c r="AG212" t="s">
        <v>116</v>
      </c>
      <c r="AH212">
        <v>244.27878031988089</v>
      </c>
      <c r="AI212" t="s">
        <v>47</v>
      </c>
      <c r="AJ212" t="s">
        <v>104</v>
      </c>
      <c r="AK212">
        <v>203.1206532669033</v>
      </c>
      <c r="AL212">
        <v>1</v>
      </c>
      <c r="AM212" s="41" t="s">
        <v>348</v>
      </c>
    </row>
    <row r="213" spans="1:45" hidden="1">
      <c r="A213">
        <v>2609124574</v>
      </c>
      <c r="B213">
        <v>1144012400</v>
      </c>
      <c r="C213" t="s">
        <v>93</v>
      </c>
      <c r="D213" t="s">
        <v>0</v>
      </c>
      <c r="E213" t="s">
        <v>94</v>
      </c>
      <c r="F213" t="s">
        <v>95</v>
      </c>
      <c r="G213">
        <v>1</v>
      </c>
      <c r="H213">
        <v>5</v>
      </c>
      <c r="I213">
        <v>55000</v>
      </c>
      <c r="J213">
        <v>0</v>
      </c>
      <c r="K213" t="s">
        <v>528</v>
      </c>
      <c r="L213">
        <v>26</v>
      </c>
      <c r="M213">
        <v>7</v>
      </c>
      <c r="N213">
        <v>7857</v>
      </c>
      <c r="O213">
        <v>26.04</v>
      </c>
      <c r="P213">
        <v>7</v>
      </c>
      <c r="Q213">
        <v>7857</v>
      </c>
      <c r="R213" t="s">
        <v>121</v>
      </c>
      <c r="S213" s="40">
        <v>46072</v>
      </c>
      <c r="T213">
        <v>37.562354999999997</v>
      </c>
      <c r="U213">
        <v>126.920091</v>
      </c>
      <c r="V213" t="s">
        <v>607</v>
      </c>
      <c r="W213" t="s">
        <v>608</v>
      </c>
      <c r="X213">
        <v>1</v>
      </c>
      <c r="Y213">
        <v>0</v>
      </c>
      <c r="Z213">
        <v>0</v>
      </c>
      <c r="AA213" t="s">
        <v>139</v>
      </c>
      <c r="AB213" t="s">
        <v>609</v>
      </c>
      <c r="AC213">
        <v>55000</v>
      </c>
      <c r="AD213">
        <v>0</v>
      </c>
      <c r="AE213" t="s">
        <v>101</v>
      </c>
      <c r="AF213" t="s">
        <v>165</v>
      </c>
      <c r="AG213" t="s">
        <v>166</v>
      </c>
      <c r="AH213">
        <v>625.70464692952532</v>
      </c>
      <c r="AI213" t="s">
        <v>47</v>
      </c>
      <c r="AJ213" t="s">
        <v>104</v>
      </c>
      <c r="AK213">
        <v>1340.5337714535356</v>
      </c>
      <c r="AL213" t="s">
        <v>105</v>
      </c>
      <c r="AM213" s="41" t="s">
        <v>610</v>
      </c>
    </row>
    <row r="214" spans="1:45" hidden="1">
      <c r="A214">
        <v>2607023250</v>
      </c>
      <c r="B214">
        <v>1144011400</v>
      </c>
      <c r="C214" t="s">
        <v>93</v>
      </c>
      <c r="D214" t="s">
        <v>0</v>
      </c>
      <c r="E214" t="s">
        <v>94</v>
      </c>
      <c r="F214" t="s">
        <v>135</v>
      </c>
      <c r="G214">
        <v>1</v>
      </c>
      <c r="H214">
        <v>2</v>
      </c>
      <c r="I214">
        <v>120000</v>
      </c>
      <c r="J214">
        <v>0</v>
      </c>
      <c r="K214" t="s">
        <v>238</v>
      </c>
      <c r="L214">
        <v>78</v>
      </c>
      <c r="M214">
        <v>23</v>
      </c>
      <c r="N214">
        <v>5217</v>
      </c>
      <c r="O214">
        <v>50.9</v>
      </c>
      <c r="P214">
        <v>15</v>
      </c>
      <c r="Q214">
        <v>8000</v>
      </c>
      <c r="R214" t="s">
        <v>145</v>
      </c>
      <c r="S214" s="40">
        <v>46058</v>
      </c>
      <c r="T214">
        <v>37.548369000000001</v>
      </c>
      <c r="U214">
        <v>126.92944799999999</v>
      </c>
      <c r="V214" t="s">
        <v>611</v>
      </c>
      <c r="W214" t="s">
        <v>603</v>
      </c>
      <c r="X214">
        <v>1</v>
      </c>
      <c r="Y214">
        <v>0</v>
      </c>
      <c r="Z214">
        <v>0</v>
      </c>
      <c r="AA214" t="s">
        <v>99</v>
      </c>
      <c r="AB214" t="s">
        <v>502</v>
      </c>
      <c r="AC214">
        <v>120000</v>
      </c>
      <c r="AD214">
        <v>0</v>
      </c>
      <c r="AE214" t="s">
        <v>101</v>
      </c>
      <c r="AF214" t="s">
        <v>481</v>
      </c>
      <c r="AG214" t="s">
        <v>103</v>
      </c>
      <c r="AH214">
        <v>353.10489569662644</v>
      </c>
      <c r="AI214" t="s">
        <v>47</v>
      </c>
      <c r="AJ214" t="s">
        <v>104</v>
      </c>
      <c r="AK214">
        <v>1239.2769741190828</v>
      </c>
      <c r="AL214" t="s">
        <v>105</v>
      </c>
      <c r="AM214" s="41" t="s">
        <v>482</v>
      </c>
    </row>
    <row r="215" spans="1:45" hidden="1">
      <c r="A215">
        <v>2607687145</v>
      </c>
      <c r="B215">
        <v>1144012000</v>
      </c>
      <c r="C215" t="s">
        <v>134</v>
      </c>
      <c r="D215" t="s">
        <v>0</v>
      </c>
      <c r="E215" t="s">
        <v>94</v>
      </c>
      <c r="F215" t="s">
        <v>108</v>
      </c>
      <c r="G215" t="s">
        <v>35</v>
      </c>
      <c r="H215">
        <v>2</v>
      </c>
      <c r="I215">
        <v>105000</v>
      </c>
      <c r="J215">
        <v>0</v>
      </c>
      <c r="K215" t="s">
        <v>354</v>
      </c>
      <c r="L215">
        <v>99</v>
      </c>
      <c r="M215">
        <v>29</v>
      </c>
      <c r="N215">
        <v>3620</v>
      </c>
      <c r="O215">
        <v>44.99</v>
      </c>
      <c r="P215">
        <v>13</v>
      </c>
      <c r="Q215">
        <v>8077</v>
      </c>
      <c r="R215" t="s">
        <v>145</v>
      </c>
      <c r="S215" s="40">
        <v>46062</v>
      </c>
      <c r="T215">
        <v>37.550941999999999</v>
      </c>
      <c r="U215">
        <v>126.913787</v>
      </c>
      <c r="V215" t="s">
        <v>355</v>
      </c>
      <c r="W215" t="s">
        <v>189</v>
      </c>
      <c r="X215">
        <v>1</v>
      </c>
      <c r="Y215">
        <v>0</v>
      </c>
      <c r="Z215">
        <v>0</v>
      </c>
      <c r="AA215" t="s">
        <v>139</v>
      </c>
      <c r="AB215" t="s">
        <v>206</v>
      </c>
      <c r="AC215">
        <v>105000</v>
      </c>
      <c r="AD215">
        <v>0</v>
      </c>
      <c r="AE215" t="s">
        <v>101</v>
      </c>
      <c r="AF215" t="s">
        <v>115</v>
      </c>
      <c r="AG215" t="s">
        <v>116</v>
      </c>
      <c r="AH215">
        <v>132.09524505029225</v>
      </c>
      <c r="AI215" t="s">
        <v>47</v>
      </c>
      <c r="AJ215" t="s">
        <v>104</v>
      </c>
      <c r="AK215">
        <v>528.49483569447079</v>
      </c>
      <c r="AL215">
        <v>1</v>
      </c>
      <c r="AM215" s="41" t="s">
        <v>178</v>
      </c>
    </row>
    <row r="216" spans="1:45" hidden="1">
      <c r="A216">
        <v>2607773477</v>
      </c>
      <c r="B216">
        <v>1144012000</v>
      </c>
      <c r="C216" t="s">
        <v>134</v>
      </c>
      <c r="D216" t="s">
        <v>0</v>
      </c>
      <c r="E216" t="s">
        <v>94</v>
      </c>
      <c r="F216" t="s">
        <v>95</v>
      </c>
      <c r="G216" t="s">
        <v>35</v>
      </c>
      <c r="H216">
        <v>2</v>
      </c>
      <c r="I216">
        <v>105000</v>
      </c>
      <c r="J216">
        <v>0</v>
      </c>
      <c r="K216" t="s">
        <v>354</v>
      </c>
      <c r="L216">
        <v>99</v>
      </c>
      <c r="M216">
        <v>29</v>
      </c>
      <c r="N216">
        <v>3620</v>
      </c>
      <c r="O216">
        <v>44.98</v>
      </c>
      <c r="P216">
        <v>13</v>
      </c>
      <c r="Q216">
        <v>8077</v>
      </c>
      <c r="R216" t="s">
        <v>208</v>
      </c>
      <c r="S216" s="40">
        <v>46062</v>
      </c>
      <c r="T216">
        <v>37.550941999999999</v>
      </c>
      <c r="U216">
        <v>126.913787</v>
      </c>
      <c r="V216" t="s">
        <v>356</v>
      </c>
      <c r="W216" t="s">
        <v>189</v>
      </c>
      <c r="X216">
        <v>1</v>
      </c>
      <c r="Y216">
        <v>0</v>
      </c>
      <c r="Z216">
        <v>0</v>
      </c>
      <c r="AA216" t="s">
        <v>148</v>
      </c>
      <c r="AB216" t="s">
        <v>357</v>
      </c>
      <c r="AC216">
        <v>105000</v>
      </c>
      <c r="AD216">
        <v>0</v>
      </c>
      <c r="AE216" t="s">
        <v>101</v>
      </c>
      <c r="AF216" t="s">
        <v>115</v>
      </c>
      <c r="AG216" t="s">
        <v>116</v>
      </c>
      <c r="AH216">
        <v>132.09524505029225</v>
      </c>
      <c r="AI216" t="s">
        <v>47</v>
      </c>
      <c r="AJ216" t="s">
        <v>104</v>
      </c>
      <c r="AK216">
        <v>528.49483569447079</v>
      </c>
      <c r="AL216">
        <v>1</v>
      </c>
      <c r="AM216" s="41" t="s">
        <v>178</v>
      </c>
    </row>
    <row r="217" spans="1:45">
      <c r="A217">
        <v>2606291549</v>
      </c>
      <c r="B217">
        <v>1144012200</v>
      </c>
      <c r="C217" t="s">
        <v>134</v>
      </c>
      <c r="D217" t="s">
        <v>0</v>
      </c>
      <c r="E217" t="s">
        <v>94</v>
      </c>
      <c r="F217" t="s">
        <v>108</v>
      </c>
      <c r="G217" t="s">
        <v>35</v>
      </c>
      <c r="H217">
        <v>2</v>
      </c>
      <c r="I217">
        <v>140000</v>
      </c>
      <c r="J217">
        <v>0</v>
      </c>
      <c r="K217" t="s">
        <v>269</v>
      </c>
      <c r="L217">
        <v>238</v>
      </c>
      <c r="M217">
        <v>71</v>
      </c>
      <c r="N217">
        <v>1971</v>
      </c>
      <c r="O217">
        <v>92.5</v>
      </c>
      <c r="P217">
        <v>27</v>
      </c>
      <c r="Q217">
        <v>5185</v>
      </c>
      <c r="R217" t="s">
        <v>161</v>
      </c>
      <c r="S217" s="40">
        <v>46055</v>
      </c>
      <c r="T217">
        <v>37.549999</v>
      </c>
      <c r="U217">
        <v>126.912199</v>
      </c>
      <c r="V217" t="s">
        <v>270</v>
      </c>
      <c r="W217" t="s">
        <v>189</v>
      </c>
      <c r="X217">
        <v>1</v>
      </c>
      <c r="Y217">
        <v>0</v>
      </c>
      <c r="Z217">
        <v>0</v>
      </c>
      <c r="AA217" t="s">
        <v>99</v>
      </c>
      <c r="AB217" t="s">
        <v>271</v>
      </c>
      <c r="AC217">
        <v>140000</v>
      </c>
      <c r="AD217">
        <v>0</v>
      </c>
      <c r="AE217" t="s">
        <v>101</v>
      </c>
      <c r="AF217" t="s">
        <v>115</v>
      </c>
      <c r="AG217" t="s">
        <v>116</v>
      </c>
      <c r="AH217">
        <v>137.74618191953701</v>
      </c>
      <c r="AI217" t="s">
        <v>47</v>
      </c>
      <c r="AJ217" t="s">
        <v>104</v>
      </c>
      <c r="AK217">
        <v>703.58130689878158</v>
      </c>
      <c r="AL217" t="s">
        <v>105</v>
      </c>
      <c r="AM217" s="41" t="s">
        <v>272</v>
      </c>
      <c r="AN217">
        <f t="shared" ref="AN217:AN220" si="100">IFERROR(VALUE(LEFT($W217,FIND("년",$W217)-1)),"")</f>
        <v>15</v>
      </c>
      <c r="AO217" t="str">
        <f t="shared" ref="AO217:AO220" si="101">IFERROR(IF(FIND("년",$W217)=3,MID($W217,FIND("년",$W217)+1,FIND("년",$W217)-1),MID($W217,FIND("년",$W217)+1,FIND("년",$W217))),"")</f>
        <v>이내</v>
      </c>
      <c r="AP217">
        <f t="shared" ref="AP217:AP220" si="102">IFERROR(IF($AN217&lt;11,10,IF(AND($AN217&lt;26,$AO217="이내"),25,26)),"")</f>
        <v>25</v>
      </c>
      <c r="AQ217">
        <f t="shared" ref="AQ217:AQ220" si="103">IFERROR(IF($P217&lt;10,9,IF($P217&lt;20,10,IF($P217&lt;30,20,IF($P217&lt;40,30,40)))),"")</f>
        <v>20</v>
      </c>
      <c r="AR217" t="str">
        <f t="shared" ref="AR217:AR220" si="104">IFERROR(IF($D217="상가",IF($G217="1","1층",IF($G217="전체층","전체층",IF(LEFT($G217,1)="B","B1",IF($G217&lt;6,"저",IF($G217/$H217&lt;=$BC$9,"저",IF($G217/$H217&lt;=$BC$10,"중","고")))))),IF(LEFT($G217,1)="B","B1",IF($H217&lt;6,"저",IF($G217/$H217&lt;=$BC$2,"저",IF($G217/$H217&lt;=$BC$3,"중","고"))))),"")</f>
        <v>B1</v>
      </c>
      <c r="AS217">
        <f>IFERROR(ACOS(SIN(RADIANS(거래사례!$S$11))*SIN(RADIANS($T217))+COS(RADIANS(거래사례!$S$11))*COS(RADIANS($T217))*COS(RADIANS($U217-거래사례!$P$11)))*6371000,"")</f>
        <v>1850.7539812283114</v>
      </c>
    </row>
    <row r="218" spans="1:45">
      <c r="A218">
        <v>2606291549</v>
      </c>
      <c r="B218">
        <v>1144012200</v>
      </c>
      <c r="C218" t="s">
        <v>134</v>
      </c>
      <c r="D218" t="s">
        <v>0</v>
      </c>
      <c r="E218" t="s">
        <v>94</v>
      </c>
      <c r="F218" t="s">
        <v>108</v>
      </c>
      <c r="G218" t="s">
        <v>35</v>
      </c>
      <c r="H218">
        <v>2</v>
      </c>
      <c r="I218">
        <v>140000</v>
      </c>
      <c r="J218">
        <v>0</v>
      </c>
      <c r="K218" t="s">
        <v>269</v>
      </c>
      <c r="L218">
        <v>238</v>
      </c>
      <c r="M218">
        <v>71</v>
      </c>
      <c r="N218">
        <v>1971</v>
      </c>
      <c r="O218">
        <v>92.5</v>
      </c>
      <c r="P218">
        <v>27</v>
      </c>
      <c r="Q218">
        <v>5185</v>
      </c>
      <c r="R218" t="s">
        <v>161</v>
      </c>
      <c r="S218" s="40">
        <v>46055</v>
      </c>
      <c r="T218">
        <v>37.549999</v>
      </c>
      <c r="U218">
        <v>126.912199</v>
      </c>
      <c r="V218" t="s">
        <v>270</v>
      </c>
      <c r="W218" t="s">
        <v>189</v>
      </c>
      <c r="X218">
        <v>1</v>
      </c>
      <c r="Y218">
        <v>0</v>
      </c>
      <c r="Z218">
        <v>0</v>
      </c>
      <c r="AA218" t="s">
        <v>99</v>
      </c>
      <c r="AB218" t="s">
        <v>271</v>
      </c>
      <c r="AC218">
        <v>140000</v>
      </c>
      <c r="AD218">
        <v>0</v>
      </c>
      <c r="AE218" t="s">
        <v>101</v>
      </c>
      <c r="AF218" t="s">
        <v>115</v>
      </c>
      <c r="AG218" t="s">
        <v>116</v>
      </c>
      <c r="AH218">
        <v>137.74618191953701</v>
      </c>
      <c r="AI218" t="s">
        <v>47</v>
      </c>
      <c r="AJ218" t="s">
        <v>104</v>
      </c>
      <c r="AK218">
        <v>703.58130689878158</v>
      </c>
      <c r="AL218" t="s">
        <v>105</v>
      </c>
      <c r="AM218" s="41" t="s">
        <v>272</v>
      </c>
      <c r="AN218">
        <f t="shared" si="100"/>
        <v>15</v>
      </c>
      <c r="AO218" t="str">
        <f t="shared" si="101"/>
        <v>이내</v>
      </c>
      <c r="AP218">
        <f t="shared" si="102"/>
        <v>25</v>
      </c>
      <c r="AQ218">
        <f t="shared" si="103"/>
        <v>20</v>
      </c>
      <c r="AR218" t="str">
        <f t="shared" si="104"/>
        <v>B1</v>
      </c>
      <c r="AS218">
        <f>IFERROR(ACOS(SIN(RADIANS(거래사례!$S$11))*SIN(RADIANS($T218))+COS(RADIANS(거래사례!$S$11))*COS(RADIANS($T218))*COS(RADIANS($U218-거래사례!$P$11)))*6371000,"")</f>
        <v>1850.7539812283114</v>
      </c>
    </row>
    <row r="219" spans="1:45">
      <c r="A219">
        <v>2611178458</v>
      </c>
      <c r="B219">
        <v>1144012000</v>
      </c>
      <c r="C219" t="s">
        <v>93</v>
      </c>
      <c r="D219" t="s">
        <v>0</v>
      </c>
      <c r="E219" t="s">
        <v>94</v>
      </c>
      <c r="F219" t="s">
        <v>95</v>
      </c>
      <c r="G219">
        <v>1</v>
      </c>
      <c r="H219">
        <v>4</v>
      </c>
      <c r="I219">
        <v>800000</v>
      </c>
      <c r="J219">
        <v>0</v>
      </c>
      <c r="K219" t="s">
        <v>275</v>
      </c>
      <c r="L219">
        <v>509</v>
      </c>
      <c r="M219">
        <v>153</v>
      </c>
      <c r="N219">
        <v>5228</v>
      </c>
      <c r="O219">
        <v>509.09</v>
      </c>
      <c r="P219">
        <v>153</v>
      </c>
      <c r="Q219">
        <v>5229</v>
      </c>
      <c r="R219" t="s">
        <v>161</v>
      </c>
      <c r="S219" s="40">
        <v>46081</v>
      </c>
      <c r="T219">
        <v>37.551716999999996</v>
      </c>
      <c r="U219">
        <v>126.92069100000001</v>
      </c>
      <c r="V219" t="s">
        <v>276</v>
      </c>
      <c r="W219" t="s">
        <v>277</v>
      </c>
      <c r="X219">
        <v>1</v>
      </c>
      <c r="Y219">
        <v>0</v>
      </c>
      <c r="Z219">
        <v>0</v>
      </c>
      <c r="AA219" t="s">
        <v>139</v>
      </c>
      <c r="AB219" t="s">
        <v>255</v>
      </c>
      <c r="AC219">
        <v>800000</v>
      </c>
      <c r="AD219">
        <v>0</v>
      </c>
      <c r="AE219" t="s">
        <v>101</v>
      </c>
      <c r="AF219" t="s">
        <v>242</v>
      </c>
      <c r="AG219" t="s">
        <v>103</v>
      </c>
      <c r="AH219">
        <v>488.859836481738</v>
      </c>
      <c r="AI219" t="s">
        <v>47</v>
      </c>
      <c r="AJ219" t="s">
        <v>104</v>
      </c>
      <c r="AK219">
        <v>283.04103397743495</v>
      </c>
      <c r="AL219">
        <v>1</v>
      </c>
      <c r="AM219" s="41" t="s">
        <v>278</v>
      </c>
      <c r="AN219">
        <f t="shared" si="100"/>
        <v>25</v>
      </c>
      <c r="AO219" t="str">
        <f t="shared" si="101"/>
        <v>이상</v>
      </c>
      <c r="AP219">
        <f t="shared" si="102"/>
        <v>26</v>
      </c>
      <c r="AQ219">
        <f t="shared" si="103"/>
        <v>40</v>
      </c>
      <c r="AR219" t="str">
        <f t="shared" si="104"/>
        <v>저</v>
      </c>
      <c r="AS219">
        <f>IFERROR(ACOS(SIN(RADIANS(거래사례!$S$11))*SIN(RADIANS($T219))+COS(RADIANS(거래사례!$S$11))*COS(RADIANS($T219))*COS(RADIANS($U219-거래사례!$P$11)))*6371000,"")</f>
        <v>1168.8861843204386</v>
      </c>
    </row>
    <row r="220" spans="1:45">
      <c r="A220">
        <v>2611178458</v>
      </c>
      <c r="B220">
        <v>1144012000</v>
      </c>
      <c r="C220" t="s">
        <v>93</v>
      </c>
      <c r="D220" t="s">
        <v>0</v>
      </c>
      <c r="E220" t="s">
        <v>94</v>
      </c>
      <c r="F220" t="s">
        <v>95</v>
      </c>
      <c r="G220">
        <v>1</v>
      </c>
      <c r="H220">
        <v>4</v>
      </c>
      <c r="I220">
        <v>800000</v>
      </c>
      <c r="J220">
        <v>0</v>
      </c>
      <c r="K220" t="s">
        <v>275</v>
      </c>
      <c r="L220">
        <v>509</v>
      </c>
      <c r="M220">
        <v>153</v>
      </c>
      <c r="N220">
        <v>5228</v>
      </c>
      <c r="O220">
        <v>509.09</v>
      </c>
      <c r="P220">
        <v>153</v>
      </c>
      <c r="Q220">
        <v>5229</v>
      </c>
      <c r="R220" t="s">
        <v>161</v>
      </c>
      <c r="S220" s="40">
        <v>46081</v>
      </c>
      <c r="T220">
        <v>37.551716999999996</v>
      </c>
      <c r="U220">
        <v>126.92069100000001</v>
      </c>
      <c r="V220" t="s">
        <v>276</v>
      </c>
      <c r="W220" t="s">
        <v>277</v>
      </c>
      <c r="X220">
        <v>1</v>
      </c>
      <c r="Y220">
        <v>0</v>
      </c>
      <c r="Z220">
        <v>0</v>
      </c>
      <c r="AA220" t="s">
        <v>139</v>
      </c>
      <c r="AB220" t="s">
        <v>255</v>
      </c>
      <c r="AC220">
        <v>800000</v>
      </c>
      <c r="AD220">
        <v>0</v>
      </c>
      <c r="AE220" t="s">
        <v>101</v>
      </c>
      <c r="AF220" t="s">
        <v>242</v>
      </c>
      <c r="AG220" t="s">
        <v>103</v>
      </c>
      <c r="AH220">
        <v>488.859836481738</v>
      </c>
      <c r="AI220" t="s">
        <v>47</v>
      </c>
      <c r="AJ220" t="s">
        <v>104</v>
      </c>
      <c r="AK220">
        <v>283.04103397743495</v>
      </c>
      <c r="AL220">
        <v>1</v>
      </c>
      <c r="AM220" s="41" t="s">
        <v>278</v>
      </c>
      <c r="AN220">
        <f t="shared" si="100"/>
        <v>25</v>
      </c>
      <c r="AO220" t="str">
        <f t="shared" si="101"/>
        <v>이상</v>
      </c>
      <c r="AP220">
        <f t="shared" si="102"/>
        <v>26</v>
      </c>
      <c r="AQ220">
        <f t="shared" si="103"/>
        <v>40</v>
      </c>
      <c r="AR220" t="str">
        <f t="shared" si="104"/>
        <v>저</v>
      </c>
      <c r="AS220">
        <f>IFERROR(ACOS(SIN(RADIANS(거래사례!$S$11))*SIN(RADIANS($T220))+COS(RADIANS(거래사례!$S$11))*COS(RADIANS($T220))*COS(RADIANS($U220-거래사례!$P$11)))*6371000,"")</f>
        <v>1168.8861843204386</v>
      </c>
    </row>
    <row r="221" spans="1:45" hidden="1">
      <c r="A221">
        <v>2607736329</v>
      </c>
      <c r="B221">
        <v>1144012000</v>
      </c>
      <c r="C221" t="s">
        <v>93</v>
      </c>
      <c r="D221" t="s">
        <v>0</v>
      </c>
      <c r="E221" t="s">
        <v>94</v>
      </c>
      <c r="F221" t="s">
        <v>135</v>
      </c>
      <c r="G221" t="s">
        <v>35</v>
      </c>
      <c r="H221">
        <v>2</v>
      </c>
      <c r="I221">
        <v>80000</v>
      </c>
      <c r="J221">
        <v>0</v>
      </c>
      <c r="K221" t="s">
        <v>372</v>
      </c>
      <c r="L221">
        <v>72</v>
      </c>
      <c r="M221">
        <v>21</v>
      </c>
      <c r="N221">
        <v>3809</v>
      </c>
      <c r="O221">
        <v>32.42</v>
      </c>
      <c r="P221">
        <v>9</v>
      </c>
      <c r="Q221">
        <v>8889</v>
      </c>
      <c r="R221" t="s">
        <v>136</v>
      </c>
      <c r="S221" s="40">
        <v>46062</v>
      </c>
      <c r="T221">
        <v>37.550941999999999</v>
      </c>
      <c r="U221">
        <v>126.913787</v>
      </c>
      <c r="V221" t="s">
        <v>373</v>
      </c>
      <c r="W221" t="s">
        <v>189</v>
      </c>
      <c r="X221">
        <v>1</v>
      </c>
      <c r="Y221">
        <v>0</v>
      </c>
      <c r="Z221">
        <v>0</v>
      </c>
      <c r="AA221" t="s">
        <v>99</v>
      </c>
      <c r="AB221" t="s">
        <v>100</v>
      </c>
      <c r="AC221">
        <v>80000</v>
      </c>
      <c r="AD221">
        <v>0</v>
      </c>
      <c r="AE221" t="s">
        <v>101</v>
      </c>
      <c r="AF221" t="s">
        <v>115</v>
      </c>
      <c r="AG221" t="s">
        <v>116</v>
      </c>
      <c r="AH221">
        <v>132.09524505029225</v>
      </c>
      <c r="AI221" t="s">
        <v>47</v>
      </c>
      <c r="AJ221" t="s">
        <v>104</v>
      </c>
      <c r="AK221">
        <v>528.49483569447079</v>
      </c>
      <c r="AL221">
        <v>1</v>
      </c>
      <c r="AM221" s="41" t="s">
        <v>178</v>
      </c>
    </row>
    <row r="222" spans="1:45" hidden="1">
      <c r="A222">
        <v>2607248076</v>
      </c>
      <c r="B222">
        <v>1144012000</v>
      </c>
      <c r="C222" t="s">
        <v>134</v>
      </c>
      <c r="D222" t="s">
        <v>0</v>
      </c>
      <c r="E222" t="s">
        <v>94</v>
      </c>
      <c r="F222" t="s">
        <v>95</v>
      </c>
      <c r="G222" t="s">
        <v>35</v>
      </c>
      <c r="H222">
        <v>15</v>
      </c>
      <c r="I222">
        <v>80000</v>
      </c>
      <c r="J222">
        <v>0</v>
      </c>
      <c r="K222" t="s">
        <v>372</v>
      </c>
      <c r="L222">
        <v>57</v>
      </c>
      <c r="M222">
        <v>17</v>
      </c>
      <c r="N222">
        <v>4705</v>
      </c>
      <c r="O222">
        <v>30.72</v>
      </c>
      <c r="P222">
        <v>9</v>
      </c>
      <c r="Q222">
        <v>8889</v>
      </c>
      <c r="R222" t="s">
        <v>96</v>
      </c>
      <c r="S222" s="40">
        <v>46059</v>
      </c>
      <c r="T222">
        <v>37.549554999999998</v>
      </c>
      <c r="U222">
        <v>126.914817</v>
      </c>
      <c r="V222" t="s">
        <v>378</v>
      </c>
      <c r="W222" t="s">
        <v>379</v>
      </c>
      <c r="X222">
        <v>1</v>
      </c>
      <c r="Y222">
        <v>0</v>
      </c>
      <c r="Z222">
        <v>0</v>
      </c>
      <c r="AA222" t="s">
        <v>113</v>
      </c>
      <c r="AB222" t="s">
        <v>201</v>
      </c>
      <c r="AC222">
        <v>80000</v>
      </c>
      <c r="AD222">
        <v>0</v>
      </c>
      <c r="AE222" t="s">
        <v>101</v>
      </c>
      <c r="AF222" t="s">
        <v>115</v>
      </c>
      <c r="AG222" t="s">
        <v>116</v>
      </c>
      <c r="AH222">
        <v>65.461937322575565</v>
      </c>
      <c r="AI222" t="s">
        <v>47</v>
      </c>
      <c r="AJ222" t="s">
        <v>104</v>
      </c>
      <c r="AK222">
        <v>421.68102098739234</v>
      </c>
      <c r="AL222">
        <v>1</v>
      </c>
      <c r="AM222" s="41" t="s">
        <v>202</v>
      </c>
    </row>
    <row r="223" spans="1:45" hidden="1">
      <c r="A223">
        <v>2606357876</v>
      </c>
      <c r="B223">
        <v>1144012000</v>
      </c>
      <c r="C223" t="s">
        <v>134</v>
      </c>
      <c r="D223" t="s">
        <v>0</v>
      </c>
      <c r="E223" t="s">
        <v>94</v>
      </c>
      <c r="F223" t="s">
        <v>95</v>
      </c>
      <c r="G223" t="s">
        <v>35</v>
      </c>
      <c r="H223">
        <v>15</v>
      </c>
      <c r="I223">
        <v>160000</v>
      </c>
      <c r="J223">
        <v>0</v>
      </c>
      <c r="K223" t="s">
        <v>187</v>
      </c>
      <c r="L223">
        <v>114</v>
      </c>
      <c r="M223">
        <v>34</v>
      </c>
      <c r="N223">
        <v>4705</v>
      </c>
      <c r="O223">
        <v>61.9</v>
      </c>
      <c r="P223">
        <v>18</v>
      </c>
      <c r="Q223">
        <v>8889</v>
      </c>
      <c r="R223" t="s">
        <v>96</v>
      </c>
      <c r="S223" s="40">
        <v>46055</v>
      </c>
      <c r="T223">
        <v>37.549554999999998</v>
      </c>
      <c r="U223">
        <v>126.914817</v>
      </c>
      <c r="V223" t="s">
        <v>380</v>
      </c>
      <c r="W223" t="s">
        <v>379</v>
      </c>
      <c r="X223">
        <v>1</v>
      </c>
      <c r="Y223">
        <v>0</v>
      </c>
      <c r="Z223">
        <v>0</v>
      </c>
      <c r="AA223" t="s">
        <v>113</v>
      </c>
      <c r="AB223" t="s">
        <v>201</v>
      </c>
      <c r="AC223">
        <v>160000</v>
      </c>
      <c r="AD223">
        <v>0</v>
      </c>
      <c r="AE223" t="s">
        <v>101</v>
      </c>
      <c r="AF223" t="s">
        <v>115</v>
      </c>
      <c r="AG223" t="s">
        <v>116</v>
      </c>
      <c r="AH223">
        <v>65.461937322575565</v>
      </c>
      <c r="AI223" t="s">
        <v>47</v>
      </c>
      <c r="AJ223" t="s">
        <v>104</v>
      </c>
      <c r="AK223">
        <v>421.68102098739234</v>
      </c>
      <c r="AL223">
        <v>1</v>
      </c>
      <c r="AM223" s="41" t="s">
        <v>202</v>
      </c>
    </row>
    <row r="224" spans="1:45">
      <c r="A224">
        <v>2611178458</v>
      </c>
      <c r="B224">
        <v>1144012000</v>
      </c>
      <c r="C224" t="s">
        <v>93</v>
      </c>
      <c r="D224" t="s">
        <v>0</v>
      </c>
      <c r="E224" t="s">
        <v>94</v>
      </c>
      <c r="F224" t="s">
        <v>95</v>
      </c>
      <c r="G224">
        <v>1</v>
      </c>
      <c r="H224">
        <v>4</v>
      </c>
      <c r="I224">
        <v>800000</v>
      </c>
      <c r="J224">
        <v>0</v>
      </c>
      <c r="K224" t="s">
        <v>275</v>
      </c>
      <c r="L224">
        <v>509</v>
      </c>
      <c r="M224">
        <v>153</v>
      </c>
      <c r="N224">
        <v>5228</v>
      </c>
      <c r="O224">
        <v>509.09</v>
      </c>
      <c r="P224">
        <v>153</v>
      </c>
      <c r="Q224">
        <v>5229</v>
      </c>
      <c r="R224" t="s">
        <v>161</v>
      </c>
      <c r="S224" s="40">
        <v>46081</v>
      </c>
      <c r="T224">
        <v>37.551716999999996</v>
      </c>
      <c r="U224">
        <v>126.92069100000001</v>
      </c>
      <c r="V224" t="s">
        <v>276</v>
      </c>
      <c r="W224" t="s">
        <v>277</v>
      </c>
      <c r="X224">
        <v>1</v>
      </c>
      <c r="Y224">
        <v>0</v>
      </c>
      <c r="Z224">
        <v>0</v>
      </c>
      <c r="AA224" t="s">
        <v>139</v>
      </c>
      <c r="AB224" t="s">
        <v>255</v>
      </c>
      <c r="AC224">
        <v>800000</v>
      </c>
      <c r="AD224">
        <v>0</v>
      </c>
      <c r="AE224" t="s">
        <v>101</v>
      </c>
      <c r="AF224" t="s">
        <v>242</v>
      </c>
      <c r="AG224" t="s">
        <v>103</v>
      </c>
      <c r="AH224">
        <v>488.859836481738</v>
      </c>
      <c r="AI224" t="s">
        <v>47</v>
      </c>
      <c r="AJ224" t="s">
        <v>104</v>
      </c>
      <c r="AK224">
        <v>283.04103397743495</v>
      </c>
      <c r="AL224">
        <v>1</v>
      </c>
      <c r="AM224" s="41" t="s">
        <v>278</v>
      </c>
      <c r="AN224">
        <f>IFERROR(VALUE(LEFT($W224,FIND("년",$W224)-1)),"")</f>
        <v>25</v>
      </c>
      <c r="AO224" t="str">
        <f>IFERROR(IF(FIND("년",$W224)=3,MID($W224,FIND("년",$W224)+1,FIND("년",$W224)-1),MID($W224,FIND("년",$W224)+1,FIND("년",$W224))),"")</f>
        <v>이상</v>
      </c>
      <c r="AP224">
        <f>IFERROR(IF($AN224&lt;11,10,IF(AND($AN224&lt;26,$AO224="이내"),25,26)),"")</f>
        <v>26</v>
      </c>
      <c r="AQ224">
        <f>IFERROR(IF($P224&lt;10,9,IF($P224&lt;20,10,IF($P224&lt;30,20,IF($P224&lt;40,30,40)))),"")</f>
        <v>40</v>
      </c>
      <c r="AR224" t="str">
        <f>IFERROR(IF($D224="상가",IF($G224="1","1층",IF($G224="전체층","전체층",IF(LEFT($G224,1)="B","B1",IF($G224&lt;6,"저",IF($G224/$H224&lt;=$BC$9,"저",IF($G224/$H224&lt;=$BC$10,"중","고")))))),IF(LEFT($G224,1)="B","B1",IF($H224&lt;6,"저",IF($G224/$H224&lt;=$BC$2,"저",IF($G224/$H224&lt;=$BC$3,"중","고"))))),"")</f>
        <v>저</v>
      </c>
      <c r="AS224">
        <f>IFERROR(ACOS(SIN(RADIANS(거래사례!$S$11))*SIN(RADIANS($T224))+COS(RADIANS(거래사례!$S$11))*COS(RADIANS($T224))*COS(RADIANS($U224-거래사례!$P$11)))*6371000,"")</f>
        <v>1168.8861843204386</v>
      </c>
    </row>
    <row r="225" spans="1:45" hidden="1">
      <c r="A225">
        <v>2607647428</v>
      </c>
      <c r="B225">
        <v>1144012000</v>
      </c>
      <c r="C225" t="s">
        <v>134</v>
      </c>
      <c r="D225" t="s">
        <v>0</v>
      </c>
      <c r="E225" t="s">
        <v>94</v>
      </c>
      <c r="F225" t="s">
        <v>108</v>
      </c>
      <c r="G225">
        <v>1</v>
      </c>
      <c r="H225">
        <v>24</v>
      </c>
      <c r="I225">
        <v>75000</v>
      </c>
      <c r="J225">
        <v>0</v>
      </c>
      <c r="K225" t="s">
        <v>381</v>
      </c>
      <c r="L225">
        <v>26</v>
      </c>
      <c r="M225">
        <v>7</v>
      </c>
      <c r="N225">
        <v>10714</v>
      </c>
      <c r="O225">
        <v>26.59</v>
      </c>
      <c r="P225">
        <v>8</v>
      </c>
      <c r="Q225">
        <v>9375</v>
      </c>
      <c r="R225" t="s">
        <v>110</v>
      </c>
      <c r="S225" s="40">
        <v>46062</v>
      </c>
      <c r="T225">
        <v>37.550803000000002</v>
      </c>
      <c r="U225">
        <v>126.91672199999999</v>
      </c>
      <c r="V225" t="s">
        <v>382</v>
      </c>
      <c r="W225" t="s">
        <v>350</v>
      </c>
      <c r="X225">
        <v>1</v>
      </c>
      <c r="Y225">
        <v>0</v>
      </c>
      <c r="Z225">
        <v>0</v>
      </c>
      <c r="AA225" t="s">
        <v>139</v>
      </c>
      <c r="AB225" t="s">
        <v>337</v>
      </c>
      <c r="AC225">
        <v>75000</v>
      </c>
      <c r="AD225">
        <v>0</v>
      </c>
      <c r="AE225" t="s">
        <v>101</v>
      </c>
      <c r="AF225" t="s">
        <v>115</v>
      </c>
      <c r="AG225" t="s">
        <v>116</v>
      </c>
      <c r="AH225">
        <v>244.27878031988089</v>
      </c>
      <c r="AI225" t="s">
        <v>47</v>
      </c>
      <c r="AJ225" t="s">
        <v>104</v>
      </c>
      <c r="AK225">
        <v>203.1206532669033</v>
      </c>
      <c r="AL225">
        <v>1</v>
      </c>
      <c r="AM225" s="41" t="s">
        <v>348</v>
      </c>
    </row>
    <row r="226" spans="1:45" hidden="1">
      <c r="A226">
        <v>2607942324</v>
      </c>
      <c r="B226">
        <v>1144012000</v>
      </c>
      <c r="C226" t="s">
        <v>134</v>
      </c>
      <c r="D226" t="s">
        <v>0</v>
      </c>
      <c r="E226" t="s">
        <v>94</v>
      </c>
      <c r="F226" t="s">
        <v>108</v>
      </c>
      <c r="G226" t="s">
        <v>35</v>
      </c>
      <c r="H226">
        <v>2</v>
      </c>
      <c r="I226">
        <v>85000</v>
      </c>
      <c r="J226">
        <v>0</v>
      </c>
      <c r="K226" t="s">
        <v>304</v>
      </c>
      <c r="L226">
        <v>72</v>
      </c>
      <c r="M226">
        <v>21</v>
      </c>
      <c r="N226">
        <v>4047</v>
      </c>
      <c r="O226">
        <v>32.42</v>
      </c>
      <c r="P226">
        <v>9</v>
      </c>
      <c r="Q226">
        <v>9444</v>
      </c>
      <c r="R226" t="s">
        <v>154</v>
      </c>
      <c r="S226" s="40">
        <v>46063</v>
      </c>
      <c r="T226">
        <v>37.550941999999999</v>
      </c>
      <c r="U226">
        <v>126.913787</v>
      </c>
      <c r="V226" t="s">
        <v>383</v>
      </c>
      <c r="W226" t="s">
        <v>384</v>
      </c>
      <c r="X226">
        <v>1</v>
      </c>
      <c r="Y226">
        <v>0</v>
      </c>
      <c r="Z226">
        <v>0</v>
      </c>
      <c r="AA226" t="s">
        <v>99</v>
      </c>
      <c r="AB226" t="s">
        <v>227</v>
      </c>
      <c r="AC226">
        <v>85000</v>
      </c>
      <c r="AD226">
        <v>0</v>
      </c>
      <c r="AE226" t="s">
        <v>101</v>
      </c>
      <c r="AF226" t="s">
        <v>115</v>
      </c>
      <c r="AG226" t="s">
        <v>116</v>
      </c>
      <c r="AH226">
        <v>132.09524505029225</v>
      </c>
      <c r="AI226" t="s">
        <v>47</v>
      </c>
      <c r="AJ226" t="s">
        <v>104</v>
      </c>
      <c r="AK226">
        <v>528.49483569447079</v>
      </c>
      <c r="AL226">
        <v>1</v>
      </c>
      <c r="AM226" s="41" t="s">
        <v>178</v>
      </c>
    </row>
    <row r="227" spans="1:45">
      <c r="A227">
        <v>2611178458</v>
      </c>
      <c r="B227">
        <v>1144012000</v>
      </c>
      <c r="C227" t="s">
        <v>93</v>
      </c>
      <c r="D227" t="s">
        <v>0</v>
      </c>
      <c r="E227" t="s">
        <v>94</v>
      </c>
      <c r="F227" t="s">
        <v>95</v>
      </c>
      <c r="G227">
        <v>1</v>
      </c>
      <c r="H227">
        <v>4</v>
      </c>
      <c r="I227">
        <v>800000</v>
      </c>
      <c r="J227">
        <v>0</v>
      </c>
      <c r="K227" t="s">
        <v>275</v>
      </c>
      <c r="L227">
        <v>509</v>
      </c>
      <c r="M227">
        <v>153</v>
      </c>
      <c r="N227">
        <v>5228</v>
      </c>
      <c r="O227">
        <v>509.09</v>
      </c>
      <c r="P227">
        <v>153</v>
      </c>
      <c r="Q227">
        <v>5229</v>
      </c>
      <c r="R227" t="s">
        <v>161</v>
      </c>
      <c r="S227" s="40">
        <v>46081</v>
      </c>
      <c r="T227">
        <v>37.551716999999996</v>
      </c>
      <c r="U227">
        <v>126.92069100000001</v>
      </c>
      <c r="V227" t="s">
        <v>276</v>
      </c>
      <c r="W227" t="s">
        <v>277</v>
      </c>
      <c r="X227">
        <v>1</v>
      </c>
      <c r="Y227">
        <v>0</v>
      </c>
      <c r="Z227">
        <v>0</v>
      </c>
      <c r="AA227" t="s">
        <v>139</v>
      </c>
      <c r="AB227" t="s">
        <v>255</v>
      </c>
      <c r="AC227">
        <v>800000</v>
      </c>
      <c r="AD227">
        <v>0</v>
      </c>
      <c r="AE227" t="s">
        <v>101</v>
      </c>
      <c r="AF227" t="s">
        <v>242</v>
      </c>
      <c r="AG227" t="s">
        <v>103</v>
      </c>
      <c r="AH227">
        <v>488.859836481738</v>
      </c>
      <c r="AI227" t="s">
        <v>47</v>
      </c>
      <c r="AJ227" t="s">
        <v>104</v>
      </c>
      <c r="AK227">
        <v>283.04103397743495</v>
      </c>
      <c r="AL227">
        <v>1</v>
      </c>
      <c r="AM227" s="41" t="s">
        <v>278</v>
      </c>
      <c r="AN227">
        <f t="shared" ref="AN227:AN231" si="105">IFERROR(VALUE(LEFT($W227,FIND("년",$W227)-1)),"")</f>
        <v>25</v>
      </c>
      <c r="AO227" t="str">
        <f t="shared" ref="AO227:AO231" si="106">IFERROR(IF(FIND("년",$W227)=3,MID($W227,FIND("년",$W227)+1,FIND("년",$W227)-1),MID($W227,FIND("년",$W227)+1,FIND("년",$W227))),"")</f>
        <v>이상</v>
      </c>
      <c r="AP227">
        <f t="shared" ref="AP227:AP231" si="107">IFERROR(IF($AN227&lt;11,10,IF(AND($AN227&lt;26,$AO227="이내"),25,26)),"")</f>
        <v>26</v>
      </c>
      <c r="AQ227">
        <f t="shared" ref="AQ227:AQ231" si="108">IFERROR(IF($P227&lt;10,9,IF($P227&lt;20,10,IF($P227&lt;30,20,IF($P227&lt;40,30,40)))),"")</f>
        <v>40</v>
      </c>
      <c r="AR227" t="str">
        <f t="shared" ref="AR227:AR231" si="109">IFERROR(IF($D227="상가",IF($G227="1","1층",IF($G227="전체층","전체층",IF(LEFT($G227,1)="B","B1",IF($G227&lt;6,"저",IF($G227/$H227&lt;=$BC$9,"저",IF($G227/$H227&lt;=$BC$10,"중","고")))))),IF(LEFT($G227,1)="B","B1",IF($H227&lt;6,"저",IF($G227/$H227&lt;=$BC$2,"저",IF($G227/$H227&lt;=$BC$3,"중","고"))))),"")</f>
        <v>저</v>
      </c>
      <c r="AS227">
        <f>IFERROR(ACOS(SIN(RADIANS(거래사례!$S$11))*SIN(RADIANS($T227))+COS(RADIANS(거래사례!$S$11))*COS(RADIANS($T227))*COS(RADIANS($U227-거래사례!$P$11)))*6371000,"")</f>
        <v>1168.8861843204386</v>
      </c>
    </row>
    <row r="228" spans="1:45">
      <c r="A228">
        <v>2611179193</v>
      </c>
      <c r="B228">
        <v>1144012000</v>
      </c>
      <c r="C228" t="s">
        <v>93</v>
      </c>
      <c r="D228" t="s">
        <v>0</v>
      </c>
      <c r="E228" t="s">
        <v>94</v>
      </c>
      <c r="F228" t="s">
        <v>95</v>
      </c>
      <c r="G228">
        <v>1</v>
      </c>
      <c r="H228">
        <v>3</v>
      </c>
      <c r="I228">
        <v>800000</v>
      </c>
      <c r="J228">
        <v>0</v>
      </c>
      <c r="K228" t="s">
        <v>275</v>
      </c>
      <c r="L228">
        <v>503</v>
      </c>
      <c r="M228">
        <v>152</v>
      </c>
      <c r="N228">
        <v>5263</v>
      </c>
      <c r="O228">
        <v>503.05</v>
      </c>
      <c r="P228">
        <v>152</v>
      </c>
      <c r="Q228">
        <v>5263</v>
      </c>
      <c r="R228" t="s">
        <v>208</v>
      </c>
      <c r="S228" s="40">
        <v>46081</v>
      </c>
      <c r="T228">
        <v>37.552796000000001</v>
      </c>
      <c r="U228">
        <v>126.92343</v>
      </c>
      <c r="V228" t="s">
        <v>283</v>
      </c>
      <c r="W228" t="s">
        <v>284</v>
      </c>
      <c r="X228">
        <v>1</v>
      </c>
      <c r="Y228">
        <v>0</v>
      </c>
      <c r="Z228">
        <v>0</v>
      </c>
      <c r="AA228" t="s">
        <v>139</v>
      </c>
      <c r="AB228" t="s">
        <v>255</v>
      </c>
      <c r="AC228">
        <v>800000</v>
      </c>
      <c r="AD228">
        <v>0</v>
      </c>
      <c r="AE228" t="s">
        <v>101</v>
      </c>
      <c r="AF228" t="s">
        <v>165</v>
      </c>
      <c r="AG228" t="s">
        <v>166</v>
      </c>
      <c r="AH228">
        <v>456.59822468452222</v>
      </c>
      <c r="AI228" t="s">
        <v>47</v>
      </c>
      <c r="AJ228" t="s">
        <v>104</v>
      </c>
      <c r="AK228">
        <v>608.78052006376583</v>
      </c>
      <c r="AL228" t="s">
        <v>105</v>
      </c>
      <c r="AM228" s="41" t="s">
        <v>285</v>
      </c>
      <c r="AN228">
        <f t="shared" si="105"/>
        <v>25</v>
      </c>
      <c r="AO228" t="str">
        <f t="shared" si="106"/>
        <v>이상</v>
      </c>
      <c r="AP228">
        <f t="shared" si="107"/>
        <v>26</v>
      </c>
      <c r="AQ228">
        <f t="shared" si="108"/>
        <v>40</v>
      </c>
      <c r="AR228" t="str">
        <f t="shared" si="109"/>
        <v>저</v>
      </c>
      <c r="AS228">
        <f>IFERROR(ACOS(SIN(RADIANS(거래사례!$S$11))*SIN(RADIANS($T228))+COS(RADIANS(거래사례!$S$11))*COS(RADIANS($T228))*COS(RADIANS($U228-거래사례!$P$11)))*6371000,"")</f>
        <v>928.69682706301717</v>
      </c>
    </row>
    <row r="229" spans="1:45">
      <c r="A229">
        <v>2611179193</v>
      </c>
      <c r="B229">
        <v>1144012000</v>
      </c>
      <c r="C229" t="s">
        <v>93</v>
      </c>
      <c r="D229" t="s">
        <v>0</v>
      </c>
      <c r="E229" t="s">
        <v>94</v>
      </c>
      <c r="F229" t="s">
        <v>95</v>
      </c>
      <c r="G229">
        <v>1</v>
      </c>
      <c r="H229">
        <v>3</v>
      </c>
      <c r="I229">
        <v>800000</v>
      </c>
      <c r="J229">
        <v>0</v>
      </c>
      <c r="K229" t="s">
        <v>275</v>
      </c>
      <c r="L229">
        <v>503</v>
      </c>
      <c r="M229">
        <v>152</v>
      </c>
      <c r="N229">
        <v>5263</v>
      </c>
      <c r="O229">
        <v>503.05</v>
      </c>
      <c r="P229">
        <v>152</v>
      </c>
      <c r="Q229">
        <v>5263</v>
      </c>
      <c r="R229" t="s">
        <v>208</v>
      </c>
      <c r="S229" s="40">
        <v>46081</v>
      </c>
      <c r="T229">
        <v>37.552796000000001</v>
      </c>
      <c r="U229">
        <v>126.92343</v>
      </c>
      <c r="V229" t="s">
        <v>283</v>
      </c>
      <c r="W229" t="s">
        <v>284</v>
      </c>
      <c r="X229">
        <v>1</v>
      </c>
      <c r="Y229">
        <v>0</v>
      </c>
      <c r="Z229">
        <v>0</v>
      </c>
      <c r="AA229" t="s">
        <v>139</v>
      </c>
      <c r="AB229" t="s">
        <v>255</v>
      </c>
      <c r="AC229">
        <v>800000</v>
      </c>
      <c r="AD229">
        <v>0</v>
      </c>
      <c r="AE229" t="s">
        <v>101</v>
      </c>
      <c r="AF229" t="s">
        <v>165</v>
      </c>
      <c r="AG229" t="s">
        <v>166</v>
      </c>
      <c r="AH229">
        <v>456.59822468452222</v>
      </c>
      <c r="AI229" t="s">
        <v>47</v>
      </c>
      <c r="AJ229" t="s">
        <v>104</v>
      </c>
      <c r="AK229">
        <v>608.78052006376583</v>
      </c>
      <c r="AL229" t="s">
        <v>105</v>
      </c>
      <c r="AM229" s="41" t="s">
        <v>285</v>
      </c>
      <c r="AN229">
        <f t="shared" si="105"/>
        <v>25</v>
      </c>
      <c r="AO229" t="str">
        <f t="shared" si="106"/>
        <v>이상</v>
      </c>
      <c r="AP229">
        <f t="shared" si="107"/>
        <v>26</v>
      </c>
      <c r="AQ229">
        <f t="shared" si="108"/>
        <v>40</v>
      </c>
      <c r="AR229" t="str">
        <f t="shared" si="109"/>
        <v>저</v>
      </c>
      <c r="AS229">
        <f>IFERROR(ACOS(SIN(RADIANS(거래사례!$S$11))*SIN(RADIANS($T229))+COS(RADIANS(거래사례!$S$11))*COS(RADIANS($T229))*COS(RADIANS($U229-거래사례!$P$11)))*6371000,"")</f>
        <v>928.69682706301717</v>
      </c>
    </row>
    <row r="230" spans="1:45">
      <c r="A230">
        <v>2611179193</v>
      </c>
      <c r="B230">
        <v>1144012000</v>
      </c>
      <c r="C230" t="s">
        <v>93</v>
      </c>
      <c r="D230" t="s">
        <v>0</v>
      </c>
      <c r="E230" t="s">
        <v>94</v>
      </c>
      <c r="F230" t="s">
        <v>95</v>
      </c>
      <c r="G230">
        <v>1</v>
      </c>
      <c r="H230">
        <v>3</v>
      </c>
      <c r="I230">
        <v>800000</v>
      </c>
      <c r="J230">
        <v>0</v>
      </c>
      <c r="K230" t="s">
        <v>275</v>
      </c>
      <c r="L230">
        <v>503</v>
      </c>
      <c r="M230">
        <v>152</v>
      </c>
      <c r="N230">
        <v>5263</v>
      </c>
      <c r="O230">
        <v>503.05</v>
      </c>
      <c r="P230">
        <v>152</v>
      </c>
      <c r="Q230">
        <v>5263</v>
      </c>
      <c r="R230" t="s">
        <v>208</v>
      </c>
      <c r="S230" s="40">
        <v>46081</v>
      </c>
      <c r="T230">
        <v>37.552796000000001</v>
      </c>
      <c r="U230">
        <v>126.92343</v>
      </c>
      <c r="V230" t="s">
        <v>283</v>
      </c>
      <c r="W230" t="s">
        <v>284</v>
      </c>
      <c r="X230">
        <v>1</v>
      </c>
      <c r="Y230">
        <v>0</v>
      </c>
      <c r="Z230">
        <v>0</v>
      </c>
      <c r="AA230" t="s">
        <v>139</v>
      </c>
      <c r="AB230" t="s">
        <v>255</v>
      </c>
      <c r="AC230">
        <v>800000</v>
      </c>
      <c r="AD230">
        <v>0</v>
      </c>
      <c r="AE230" t="s">
        <v>101</v>
      </c>
      <c r="AF230" t="s">
        <v>165</v>
      </c>
      <c r="AG230" t="s">
        <v>166</v>
      </c>
      <c r="AH230">
        <v>456.59822468452222</v>
      </c>
      <c r="AI230" t="s">
        <v>47</v>
      </c>
      <c r="AJ230" t="s">
        <v>104</v>
      </c>
      <c r="AK230">
        <v>608.78052006376583</v>
      </c>
      <c r="AL230" t="s">
        <v>105</v>
      </c>
      <c r="AM230" s="41" t="s">
        <v>285</v>
      </c>
      <c r="AN230">
        <f t="shared" si="105"/>
        <v>25</v>
      </c>
      <c r="AO230" t="str">
        <f t="shared" si="106"/>
        <v>이상</v>
      </c>
      <c r="AP230">
        <f t="shared" si="107"/>
        <v>26</v>
      </c>
      <c r="AQ230">
        <f t="shared" si="108"/>
        <v>40</v>
      </c>
      <c r="AR230" t="str">
        <f t="shared" si="109"/>
        <v>저</v>
      </c>
      <c r="AS230">
        <f>IFERROR(ACOS(SIN(RADIANS(거래사례!$S$11))*SIN(RADIANS($T230))+COS(RADIANS(거래사례!$S$11))*COS(RADIANS($T230))*COS(RADIANS($U230-거래사례!$P$11)))*6371000,"")</f>
        <v>928.69682706301717</v>
      </c>
    </row>
    <row r="231" spans="1:45">
      <c r="A231">
        <v>2611179193</v>
      </c>
      <c r="B231">
        <v>1144012000</v>
      </c>
      <c r="C231" t="s">
        <v>93</v>
      </c>
      <c r="D231" t="s">
        <v>0</v>
      </c>
      <c r="E231" t="s">
        <v>94</v>
      </c>
      <c r="F231" t="s">
        <v>95</v>
      </c>
      <c r="G231">
        <v>1</v>
      </c>
      <c r="H231">
        <v>3</v>
      </c>
      <c r="I231">
        <v>800000</v>
      </c>
      <c r="J231">
        <v>0</v>
      </c>
      <c r="K231" t="s">
        <v>275</v>
      </c>
      <c r="L231">
        <v>503</v>
      </c>
      <c r="M231">
        <v>152</v>
      </c>
      <c r="N231">
        <v>5263</v>
      </c>
      <c r="O231">
        <v>503.05</v>
      </c>
      <c r="P231">
        <v>152</v>
      </c>
      <c r="Q231">
        <v>5263</v>
      </c>
      <c r="R231" t="s">
        <v>208</v>
      </c>
      <c r="S231" s="40">
        <v>46081</v>
      </c>
      <c r="T231">
        <v>37.552796000000001</v>
      </c>
      <c r="U231">
        <v>126.92343</v>
      </c>
      <c r="V231" t="s">
        <v>283</v>
      </c>
      <c r="W231" t="s">
        <v>284</v>
      </c>
      <c r="X231">
        <v>1</v>
      </c>
      <c r="Y231">
        <v>0</v>
      </c>
      <c r="Z231">
        <v>0</v>
      </c>
      <c r="AA231" t="s">
        <v>139</v>
      </c>
      <c r="AB231" t="s">
        <v>255</v>
      </c>
      <c r="AC231">
        <v>800000</v>
      </c>
      <c r="AD231">
        <v>0</v>
      </c>
      <c r="AE231" t="s">
        <v>101</v>
      </c>
      <c r="AF231" t="s">
        <v>165</v>
      </c>
      <c r="AG231" t="s">
        <v>166</v>
      </c>
      <c r="AH231">
        <v>456.59822468452222</v>
      </c>
      <c r="AI231" t="s">
        <v>47</v>
      </c>
      <c r="AJ231" t="s">
        <v>104</v>
      </c>
      <c r="AK231">
        <v>608.78052006376583</v>
      </c>
      <c r="AL231" t="s">
        <v>105</v>
      </c>
      <c r="AM231" s="41" t="s">
        <v>285</v>
      </c>
      <c r="AN231">
        <f t="shared" si="105"/>
        <v>25</v>
      </c>
      <c r="AO231" t="str">
        <f t="shared" si="106"/>
        <v>이상</v>
      </c>
      <c r="AP231">
        <f t="shared" si="107"/>
        <v>26</v>
      </c>
      <c r="AQ231">
        <f t="shared" si="108"/>
        <v>40</v>
      </c>
      <c r="AR231" t="str">
        <f t="shared" si="109"/>
        <v>저</v>
      </c>
      <c r="AS231">
        <f>IFERROR(ACOS(SIN(RADIANS(거래사례!$S$11))*SIN(RADIANS($T231))+COS(RADIANS(거래사례!$S$11))*COS(RADIANS($T231))*COS(RADIANS($U231-거래사례!$P$11)))*6371000,"")</f>
        <v>928.69682706301717</v>
      </c>
    </row>
    <row r="232" spans="1:45" hidden="1">
      <c r="A232">
        <v>2607366979</v>
      </c>
      <c r="B232">
        <v>1144012000</v>
      </c>
      <c r="C232" t="s">
        <v>211</v>
      </c>
      <c r="D232" t="s">
        <v>0</v>
      </c>
      <c r="E232" t="s">
        <v>94</v>
      </c>
      <c r="F232" t="s">
        <v>135</v>
      </c>
      <c r="G232" t="s">
        <v>35</v>
      </c>
      <c r="H232">
        <v>35</v>
      </c>
      <c r="I232">
        <v>70000</v>
      </c>
      <c r="J232">
        <v>0</v>
      </c>
      <c r="K232" t="s">
        <v>225</v>
      </c>
      <c r="L232">
        <v>50</v>
      </c>
      <c r="M232">
        <v>15</v>
      </c>
      <c r="N232">
        <v>4666</v>
      </c>
      <c r="O232">
        <v>22.53</v>
      </c>
      <c r="P232">
        <v>6</v>
      </c>
      <c r="Q232">
        <v>11667</v>
      </c>
      <c r="R232" t="s">
        <v>145</v>
      </c>
      <c r="S232" s="40">
        <v>46059</v>
      </c>
      <c r="T232">
        <v>37.550941999999999</v>
      </c>
      <c r="U232">
        <v>126.913787</v>
      </c>
      <c r="V232" t="s">
        <v>394</v>
      </c>
      <c r="W232" t="s">
        <v>395</v>
      </c>
      <c r="X232">
        <v>1</v>
      </c>
      <c r="Y232">
        <v>0</v>
      </c>
      <c r="Z232">
        <v>0</v>
      </c>
      <c r="AA232" t="s">
        <v>99</v>
      </c>
      <c r="AB232" t="s">
        <v>396</v>
      </c>
      <c r="AC232">
        <v>70000</v>
      </c>
      <c r="AD232">
        <v>0</v>
      </c>
      <c r="AE232" t="s">
        <v>101</v>
      </c>
      <c r="AF232" t="s">
        <v>115</v>
      </c>
      <c r="AG232" t="s">
        <v>116</v>
      </c>
      <c r="AH232">
        <v>132.09524505029225</v>
      </c>
      <c r="AI232" t="s">
        <v>47</v>
      </c>
      <c r="AJ232" t="s">
        <v>104</v>
      </c>
      <c r="AK232">
        <v>528.49483569447079</v>
      </c>
      <c r="AL232">
        <v>1</v>
      </c>
      <c r="AM232" s="41" t="s">
        <v>178</v>
      </c>
    </row>
    <row r="233" spans="1:45" hidden="1">
      <c r="A233">
        <v>2606513293</v>
      </c>
      <c r="B233">
        <v>1144012000</v>
      </c>
      <c r="C233" t="s">
        <v>93</v>
      </c>
      <c r="D233" t="s">
        <v>0</v>
      </c>
      <c r="E233" t="s">
        <v>94</v>
      </c>
      <c r="F233" t="s">
        <v>135</v>
      </c>
      <c r="G233">
        <v>1</v>
      </c>
      <c r="H233">
        <v>6</v>
      </c>
      <c r="I233">
        <v>35000</v>
      </c>
      <c r="J233">
        <v>0</v>
      </c>
      <c r="K233" t="s">
        <v>420</v>
      </c>
      <c r="L233">
        <v>28</v>
      </c>
      <c r="M233">
        <v>8</v>
      </c>
      <c r="N233">
        <v>4375</v>
      </c>
      <c r="O233">
        <v>10.7</v>
      </c>
      <c r="P233">
        <v>3</v>
      </c>
      <c r="Q233">
        <v>11667</v>
      </c>
      <c r="R233" t="s">
        <v>110</v>
      </c>
      <c r="S233" s="40">
        <v>46056</v>
      </c>
      <c r="T233">
        <v>37.553348999999997</v>
      </c>
      <c r="U233">
        <v>126.924397</v>
      </c>
      <c r="V233" t="s">
        <v>560</v>
      </c>
      <c r="W233" t="s">
        <v>561</v>
      </c>
      <c r="X233">
        <v>1</v>
      </c>
      <c r="Y233">
        <v>0</v>
      </c>
      <c r="Z233">
        <v>0</v>
      </c>
      <c r="AA233" t="s">
        <v>99</v>
      </c>
      <c r="AB233" t="s">
        <v>562</v>
      </c>
      <c r="AC233">
        <v>35000</v>
      </c>
      <c r="AD233">
        <v>0</v>
      </c>
      <c r="AE233" t="s">
        <v>101</v>
      </c>
      <c r="AF233" t="s">
        <v>165</v>
      </c>
      <c r="AG233" t="s">
        <v>166</v>
      </c>
      <c r="AH233">
        <v>402.35281783877383</v>
      </c>
      <c r="AI233" t="s">
        <v>47</v>
      </c>
      <c r="AJ233" t="s">
        <v>104</v>
      </c>
      <c r="AK233">
        <v>732.53643904711817</v>
      </c>
      <c r="AL233" t="s">
        <v>105</v>
      </c>
      <c r="AM233" s="41" t="s">
        <v>563</v>
      </c>
    </row>
    <row r="234" spans="1:45" hidden="1">
      <c r="A234">
        <v>2606513484</v>
      </c>
      <c r="B234">
        <v>1144012000</v>
      </c>
      <c r="C234" t="s">
        <v>93</v>
      </c>
      <c r="D234" t="s">
        <v>0</v>
      </c>
      <c r="E234" t="s">
        <v>94</v>
      </c>
      <c r="F234" t="s">
        <v>135</v>
      </c>
      <c r="G234">
        <v>1</v>
      </c>
      <c r="H234">
        <v>6</v>
      </c>
      <c r="I234">
        <v>35000</v>
      </c>
      <c r="J234">
        <v>0</v>
      </c>
      <c r="K234" t="s">
        <v>420</v>
      </c>
      <c r="L234">
        <v>28</v>
      </c>
      <c r="M234">
        <v>8</v>
      </c>
      <c r="N234">
        <v>4375</v>
      </c>
      <c r="O234">
        <v>10.7</v>
      </c>
      <c r="P234">
        <v>3</v>
      </c>
      <c r="Q234">
        <v>11667</v>
      </c>
      <c r="R234" t="s">
        <v>110</v>
      </c>
      <c r="S234" s="40">
        <v>46056</v>
      </c>
      <c r="T234">
        <v>37.553488000000002</v>
      </c>
      <c r="U234">
        <v>126.92430400000001</v>
      </c>
      <c r="V234" t="s">
        <v>560</v>
      </c>
      <c r="W234" t="s">
        <v>561</v>
      </c>
      <c r="X234">
        <v>1</v>
      </c>
      <c r="Y234">
        <v>0</v>
      </c>
      <c r="Z234">
        <v>0</v>
      </c>
      <c r="AA234" t="s">
        <v>99</v>
      </c>
      <c r="AB234" t="s">
        <v>562</v>
      </c>
      <c r="AC234">
        <v>35000</v>
      </c>
      <c r="AD234">
        <v>0</v>
      </c>
      <c r="AE234" t="s">
        <v>101</v>
      </c>
      <c r="AF234" t="s">
        <v>165</v>
      </c>
      <c r="AG234" t="s">
        <v>166</v>
      </c>
      <c r="AH234">
        <v>385.18638332688346</v>
      </c>
      <c r="AI234" t="s">
        <v>47</v>
      </c>
      <c r="AJ234" t="s">
        <v>104</v>
      </c>
      <c r="AK234">
        <v>730.39400802924092</v>
      </c>
      <c r="AL234" t="s">
        <v>105</v>
      </c>
      <c r="AM234" s="41" t="s">
        <v>563</v>
      </c>
    </row>
    <row r="235" spans="1:45" hidden="1">
      <c r="A235">
        <v>2611037574</v>
      </c>
      <c r="B235">
        <v>1144012000</v>
      </c>
      <c r="C235" t="s">
        <v>134</v>
      </c>
      <c r="D235" t="s">
        <v>0</v>
      </c>
      <c r="E235" t="s">
        <v>94</v>
      </c>
      <c r="F235" t="s">
        <v>135</v>
      </c>
      <c r="G235" t="s">
        <v>35</v>
      </c>
      <c r="H235">
        <v>2</v>
      </c>
      <c r="I235">
        <v>73000</v>
      </c>
      <c r="J235">
        <v>0</v>
      </c>
      <c r="K235" t="s">
        <v>397</v>
      </c>
      <c r="L235">
        <v>49</v>
      </c>
      <c r="M235">
        <v>14</v>
      </c>
      <c r="N235">
        <v>5214</v>
      </c>
      <c r="O235">
        <v>22.19</v>
      </c>
      <c r="P235">
        <v>6</v>
      </c>
      <c r="Q235">
        <v>12167</v>
      </c>
      <c r="R235" t="s">
        <v>154</v>
      </c>
      <c r="S235" s="40">
        <v>46080</v>
      </c>
      <c r="T235">
        <v>37.550941000000002</v>
      </c>
      <c r="U235">
        <v>126.913787</v>
      </c>
      <c r="V235" t="s">
        <v>398</v>
      </c>
      <c r="W235" t="s">
        <v>189</v>
      </c>
      <c r="X235">
        <v>1</v>
      </c>
      <c r="Y235">
        <v>0</v>
      </c>
      <c r="Z235">
        <v>0</v>
      </c>
      <c r="AA235" t="s">
        <v>148</v>
      </c>
      <c r="AB235" t="s">
        <v>325</v>
      </c>
      <c r="AC235">
        <v>73000</v>
      </c>
      <c r="AD235">
        <v>0</v>
      </c>
      <c r="AE235" t="s">
        <v>101</v>
      </c>
      <c r="AF235" t="s">
        <v>115</v>
      </c>
      <c r="AG235" t="s">
        <v>116</v>
      </c>
      <c r="AH235">
        <v>132.01770664783839</v>
      </c>
      <c r="AI235" t="s">
        <v>47</v>
      </c>
      <c r="AJ235" t="s">
        <v>104</v>
      </c>
      <c r="AK235">
        <v>528.48255152744889</v>
      </c>
      <c r="AL235">
        <v>1</v>
      </c>
      <c r="AM235" s="41" t="s">
        <v>178</v>
      </c>
    </row>
    <row r="236" spans="1:45" hidden="1">
      <c r="A236">
        <v>2611727179</v>
      </c>
      <c r="B236">
        <v>1144012000</v>
      </c>
      <c r="C236" t="s">
        <v>211</v>
      </c>
      <c r="D236" t="s">
        <v>0</v>
      </c>
      <c r="E236" t="s">
        <v>94</v>
      </c>
      <c r="F236" t="s">
        <v>95</v>
      </c>
      <c r="G236">
        <v>1</v>
      </c>
      <c r="H236">
        <v>24</v>
      </c>
      <c r="I236">
        <v>198000</v>
      </c>
      <c r="J236">
        <v>0</v>
      </c>
      <c r="K236" t="s">
        <v>399</v>
      </c>
      <c r="L236">
        <v>96</v>
      </c>
      <c r="M236">
        <v>29</v>
      </c>
      <c r="N236">
        <v>6827</v>
      </c>
      <c r="O236">
        <v>53.25</v>
      </c>
      <c r="P236">
        <v>16</v>
      </c>
      <c r="Q236">
        <v>12375</v>
      </c>
      <c r="R236" t="s">
        <v>96</v>
      </c>
      <c r="S236" s="40">
        <v>46084</v>
      </c>
      <c r="T236">
        <v>37.550803000000002</v>
      </c>
      <c r="U236">
        <v>126.91672199999999</v>
      </c>
      <c r="V236" t="s">
        <v>400</v>
      </c>
      <c r="W236" t="s">
        <v>401</v>
      </c>
      <c r="X236">
        <v>1</v>
      </c>
      <c r="Y236">
        <v>0</v>
      </c>
      <c r="Z236">
        <v>0</v>
      </c>
      <c r="AA236" t="s">
        <v>139</v>
      </c>
      <c r="AB236" t="s">
        <v>402</v>
      </c>
      <c r="AC236">
        <v>198000</v>
      </c>
      <c r="AD236">
        <v>0</v>
      </c>
      <c r="AE236" t="s">
        <v>101</v>
      </c>
      <c r="AF236" t="s">
        <v>115</v>
      </c>
      <c r="AG236" t="s">
        <v>116</v>
      </c>
      <c r="AH236">
        <v>244.27878031988089</v>
      </c>
      <c r="AI236" t="s">
        <v>47</v>
      </c>
      <c r="AJ236" t="s">
        <v>104</v>
      </c>
      <c r="AK236">
        <v>203.1206532669033</v>
      </c>
      <c r="AL236">
        <v>1</v>
      </c>
      <c r="AM236" s="41" t="s">
        <v>348</v>
      </c>
    </row>
    <row r="237" spans="1:45">
      <c r="A237">
        <v>2608983721</v>
      </c>
      <c r="B237">
        <v>1144012000</v>
      </c>
      <c r="C237" t="s">
        <v>93</v>
      </c>
      <c r="D237" t="s">
        <v>0</v>
      </c>
      <c r="E237" t="s">
        <v>94</v>
      </c>
      <c r="F237" t="s">
        <v>128</v>
      </c>
      <c r="G237" t="s">
        <v>35</v>
      </c>
      <c r="H237">
        <v>39</v>
      </c>
      <c r="I237">
        <v>195000</v>
      </c>
      <c r="J237">
        <v>0</v>
      </c>
      <c r="K237" t="s">
        <v>286</v>
      </c>
      <c r="L237">
        <v>277</v>
      </c>
      <c r="M237">
        <v>83</v>
      </c>
      <c r="N237">
        <v>2349</v>
      </c>
      <c r="O237">
        <v>124.87</v>
      </c>
      <c r="P237">
        <v>37</v>
      </c>
      <c r="Q237">
        <v>5270</v>
      </c>
      <c r="R237" t="s">
        <v>136</v>
      </c>
      <c r="S237" s="40">
        <v>46072</v>
      </c>
      <c r="T237">
        <v>37.550941999999999</v>
      </c>
      <c r="U237">
        <v>126.913787</v>
      </c>
      <c r="V237" t="s">
        <v>287</v>
      </c>
      <c r="W237" t="s">
        <v>288</v>
      </c>
      <c r="X237">
        <v>1</v>
      </c>
      <c r="Y237">
        <v>0</v>
      </c>
      <c r="Z237">
        <v>0</v>
      </c>
      <c r="AA237" t="s">
        <v>289</v>
      </c>
      <c r="AB237" t="s">
        <v>290</v>
      </c>
      <c r="AC237">
        <v>195000</v>
      </c>
      <c r="AD237">
        <v>0</v>
      </c>
      <c r="AE237" t="s">
        <v>101</v>
      </c>
      <c r="AF237" t="s">
        <v>115</v>
      </c>
      <c r="AG237" t="s">
        <v>116</v>
      </c>
      <c r="AH237">
        <v>132.09524505029225</v>
      </c>
      <c r="AI237" t="s">
        <v>47</v>
      </c>
      <c r="AJ237" t="s">
        <v>104</v>
      </c>
      <c r="AK237">
        <v>528.49483569447079</v>
      </c>
      <c r="AL237">
        <v>1</v>
      </c>
      <c r="AM237" s="41" t="s">
        <v>178</v>
      </c>
      <c r="AN237">
        <f t="shared" ref="AN237:AN239" si="110">IFERROR(VALUE(LEFT($W237,FIND("년",$W237)-1)),"")</f>
        <v>15</v>
      </c>
      <c r="AO237" t="str">
        <f t="shared" ref="AO237:AO239" si="111">IFERROR(IF(FIND("년",$W237)=3,MID($W237,FIND("년",$W237)+1,FIND("년",$W237)-1),MID($W237,FIND("년",$W237)+1,FIND("년",$W237))),"")</f>
        <v>이내</v>
      </c>
      <c r="AP237">
        <f t="shared" ref="AP237:AP239" si="112">IFERROR(IF($AN237&lt;11,10,IF(AND($AN237&lt;26,$AO237="이내"),25,26)),"")</f>
        <v>25</v>
      </c>
      <c r="AQ237">
        <f t="shared" ref="AQ237:AQ239" si="113">IFERROR(IF($P237&lt;10,9,IF($P237&lt;20,10,IF($P237&lt;30,20,IF($P237&lt;40,30,40)))),"")</f>
        <v>30</v>
      </c>
      <c r="AR237" t="str">
        <f t="shared" ref="AR237:AR239" si="114">IFERROR(IF($D237="상가",IF($G237="1","1층",IF($G237="전체층","전체층",IF(LEFT($G237,1)="B","B1",IF($G237&lt;6,"저",IF($G237/$H237&lt;=$BC$9,"저",IF($G237/$H237&lt;=$BC$10,"중","고")))))),IF(LEFT($G237,1)="B","B1",IF($H237&lt;6,"저",IF($G237/$H237&lt;=$BC$2,"저",IF($G237/$H237&lt;=$BC$3,"중","고"))))),"")</f>
        <v>B1</v>
      </c>
      <c r="AS237">
        <f>IFERROR(ACOS(SIN(RADIANS(거래사례!$S$11))*SIN(RADIANS($T237))+COS(RADIANS(거래사례!$S$11))*COS(RADIANS($T237))*COS(RADIANS($U237-거래사례!$P$11)))*6371000,"")</f>
        <v>1675.8614531849782</v>
      </c>
    </row>
    <row r="238" spans="1:45">
      <c r="A238">
        <v>2608983721</v>
      </c>
      <c r="B238">
        <v>1144012000</v>
      </c>
      <c r="C238" t="s">
        <v>93</v>
      </c>
      <c r="D238" t="s">
        <v>0</v>
      </c>
      <c r="E238" t="s">
        <v>94</v>
      </c>
      <c r="F238" t="s">
        <v>128</v>
      </c>
      <c r="G238" t="s">
        <v>35</v>
      </c>
      <c r="H238">
        <v>39</v>
      </c>
      <c r="I238">
        <v>195000</v>
      </c>
      <c r="J238">
        <v>0</v>
      </c>
      <c r="K238" t="s">
        <v>286</v>
      </c>
      <c r="L238">
        <v>277</v>
      </c>
      <c r="M238">
        <v>83</v>
      </c>
      <c r="N238">
        <v>2349</v>
      </c>
      <c r="O238">
        <v>124.87</v>
      </c>
      <c r="P238">
        <v>37</v>
      </c>
      <c r="Q238">
        <v>5270</v>
      </c>
      <c r="R238" t="s">
        <v>136</v>
      </c>
      <c r="S238" s="40">
        <v>46072</v>
      </c>
      <c r="T238">
        <v>37.550941999999999</v>
      </c>
      <c r="U238">
        <v>126.913787</v>
      </c>
      <c r="V238" t="s">
        <v>287</v>
      </c>
      <c r="W238" t="s">
        <v>288</v>
      </c>
      <c r="X238">
        <v>1</v>
      </c>
      <c r="Y238">
        <v>0</v>
      </c>
      <c r="Z238">
        <v>0</v>
      </c>
      <c r="AA238" t="s">
        <v>289</v>
      </c>
      <c r="AB238" t="s">
        <v>290</v>
      </c>
      <c r="AC238">
        <v>195000</v>
      </c>
      <c r="AD238">
        <v>0</v>
      </c>
      <c r="AE238" t="s">
        <v>101</v>
      </c>
      <c r="AF238" t="s">
        <v>115</v>
      </c>
      <c r="AG238" t="s">
        <v>116</v>
      </c>
      <c r="AH238">
        <v>132.09524505029225</v>
      </c>
      <c r="AI238" t="s">
        <v>47</v>
      </c>
      <c r="AJ238" t="s">
        <v>104</v>
      </c>
      <c r="AK238">
        <v>528.49483569447079</v>
      </c>
      <c r="AL238">
        <v>1</v>
      </c>
      <c r="AM238" s="41" t="s">
        <v>178</v>
      </c>
      <c r="AN238">
        <f t="shared" si="110"/>
        <v>15</v>
      </c>
      <c r="AO238" t="str">
        <f t="shared" si="111"/>
        <v>이내</v>
      </c>
      <c r="AP238">
        <f t="shared" si="112"/>
        <v>25</v>
      </c>
      <c r="AQ238">
        <f t="shared" si="113"/>
        <v>30</v>
      </c>
      <c r="AR238" t="str">
        <f t="shared" si="114"/>
        <v>B1</v>
      </c>
      <c r="AS238">
        <f>IFERROR(ACOS(SIN(RADIANS(거래사례!$S$11))*SIN(RADIANS($T238))+COS(RADIANS(거래사례!$S$11))*COS(RADIANS($T238))*COS(RADIANS($U238-거래사례!$P$11)))*6371000,"")</f>
        <v>1675.8614531849782</v>
      </c>
    </row>
    <row r="239" spans="1:45">
      <c r="A239">
        <v>2609969189</v>
      </c>
      <c r="B239">
        <v>1144012000</v>
      </c>
      <c r="C239" t="s">
        <v>134</v>
      </c>
      <c r="D239" t="s">
        <v>0</v>
      </c>
      <c r="E239" t="s">
        <v>94</v>
      </c>
      <c r="F239" t="s">
        <v>95</v>
      </c>
      <c r="G239" t="s">
        <v>35</v>
      </c>
      <c r="H239">
        <v>2</v>
      </c>
      <c r="I239">
        <v>140000</v>
      </c>
      <c r="J239">
        <v>0</v>
      </c>
      <c r="K239" t="s">
        <v>269</v>
      </c>
      <c r="L239">
        <v>196</v>
      </c>
      <c r="M239">
        <v>59</v>
      </c>
      <c r="N239">
        <v>2372</v>
      </c>
      <c r="O239">
        <v>88.46</v>
      </c>
      <c r="P239">
        <v>26</v>
      </c>
      <c r="Q239">
        <v>5385</v>
      </c>
      <c r="R239" t="s">
        <v>96</v>
      </c>
      <c r="S239" s="40">
        <v>46076</v>
      </c>
      <c r="T239">
        <v>37.550941999999999</v>
      </c>
      <c r="U239">
        <v>126.913787</v>
      </c>
      <c r="V239" t="s">
        <v>295</v>
      </c>
      <c r="W239" t="s">
        <v>189</v>
      </c>
      <c r="X239">
        <v>1</v>
      </c>
      <c r="Y239">
        <v>0</v>
      </c>
      <c r="Z239">
        <v>0</v>
      </c>
      <c r="AA239" t="s">
        <v>139</v>
      </c>
      <c r="AB239" t="s">
        <v>190</v>
      </c>
      <c r="AC239">
        <v>140000</v>
      </c>
      <c r="AD239">
        <v>0</v>
      </c>
      <c r="AE239" t="s">
        <v>101</v>
      </c>
      <c r="AF239" t="s">
        <v>115</v>
      </c>
      <c r="AG239" t="s">
        <v>116</v>
      </c>
      <c r="AH239">
        <v>132.09524505029225</v>
      </c>
      <c r="AI239" t="s">
        <v>47</v>
      </c>
      <c r="AJ239" t="s">
        <v>104</v>
      </c>
      <c r="AK239">
        <v>528.49483569447079</v>
      </c>
      <c r="AL239">
        <v>1</v>
      </c>
      <c r="AM239" s="41" t="s">
        <v>178</v>
      </c>
      <c r="AN239">
        <f t="shared" si="110"/>
        <v>15</v>
      </c>
      <c r="AO239" t="str">
        <f t="shared" si="111"/>
        <v>이내</v>
      </c>
      <c r="AP239">
        <f t="shared" si="112"/>
        <v>25</v>
      </c>
      <c r="AQ239">
        <f t="shared" si="113"/>
        <v>20</v>
      </c>
      <c r="AR239" t="str">
        <f t="shared" si="114"/>
        <v>B1</v>
      </c>
      <c r="AS239">
        <f>IFERROR(ACOS(SIN(RADIANS(거래사례!$S$11))*SIN(RADIANS($T239))+COS(RADIANS(거래사례!$S$11))*COS(RADIANS($T239))*COS(RADIANS($U239-거래사례!$P$11)))*6371000,"")</f>
        <v>1675.8614531849782</v>
      </c>
    </row>
    <row r="240" spans="1:45" hidden="1">
      <c r="A240">
        <v>2611178271</v>
      </c>
      <c r="B240">
        <v>1144012000</v>
      </c>
      <c r="C240" t="s">
        <v>134</v>
      </c>
      <c r="D240" t="s">
        <v>0</v>
      </c>
      <c r="E240" t="s">
        <v>94</v>
      </c>
      <c r="F240" t="s">
        <v>108</v>
      </c>
      <c r="G240">
        <v>1</v>
      </c>
      <c r="H240">
        <v>24</v>
      </c>
      <c r="I240">
        <v>220000</v>
      </c>
      <c r="J240">
        <v>0</v>
      </c>
      <c r="K240" t="s">
        <v>406</v>
      </c>
      <c r="L240">
        <v>55</v>
      </c>
      <c r="M240">
        <v>16</v>
      </c>
      <c r="N240">
        <v>13750</v>
      </c>
      <c r="O240">
        <v>55.74</v>
      </c>
      <c r="P240">
        <v>16</v>
      </c>
      <c r="Q240">
        <v>13750</v>
      </c>
      <c r="R240" t="s">
        <v>121</v>
      </c>
      <c r="S240" s="40">
        <v>46081</v>
      </c>
      <c r="T240">
        <v>37.550803000000002</v>
      </c>
      <c r="U240">
        <v>126.91672199999999</v>
      </c>
      <c r="V240" t="s">
        <v>407</v>
      </c>
      <c r="W240" t="s">
        <v>408</v>
      </c>
      <c r="X240">
        <v>1</v>
      </c>
      <c r="Y240">
        <v>0</v>
      </c>
      <c r="Z240">
        <v>0</v>
      </c>
      <c r="AA240" t="s">
        <v>139</v>
      </c>
      <c r="AB240" t="s">
        <v>337</v>
      </c>
      <c r="AC240">
        <v>220000</v>
      </c>
      <c r="AD240">
        <v>0</v>
      </c>
      <c r="AE240" t="s">
        <v>101</v>
      </c>
      <c r="AF240" t="s">
        <v>115</v>
      </c>
      <c r="AG240" t="s">
        <v>116</v>
      </c>
      <c r="AH240">
        <v>244.27878031988089</v>
      </c>
      <c r="AI240" t="s">
        <v>47</v>
      </c>
      <c r="AJ240" t="s">
        <v>104</v>
      </c>
      <c r="AK240">
        <v>203.1206532669033</v>
      </c>
      <c r="AL240">
        <v>1</v>
      </c>
      <c r="AM240" s="41" t="s">
        <v>348</v>
      </c>
    </row>
    <row r="241" spans="1:56" hidden="1">
      <c r="A241">
        <v>2607463530</v>
      </c>
      <c r="B241">
        <v>1144012000</v>
      </c>
      <c r="C241" t="s">
        <v>93</v>
      </c>
      <c r="D241" t="s">
        <v>0</v>
      </c>
      <c r="E241" t="s">
        <v>94</v>
      </c>
      <c r="F241" t="s">
        <v>108</v>
      </c>
      <c r="G241">
        <v>1</v>
      </c>
      <c r="H241">
        <v>24</v>
      </c>
      <c r="I241">
        <v>220000</v>
      </c>
      <c r="J241">
        <v>0</v>
      </c>
      <c r="K241" t="s">
        <v>406</v>
      </c>
      <c r="L241">
        <v>101</v>
      </c>
      <c r="M241">
        <v>30</v>
      </c>
      <c r="N241">
        <v>7333</v>
      </c>
      <c r="O241">
        <v>55.74</v>
      </c>
      <c r="P241">
        <v>16</v>
      </c>
      <c r="Q241">
        <v>13750</v>
      </c>
      <c r="R241" t="s">
        <v>208</v>
      </c>
      <c r="S241" s="40">
        <v>46060</v>
      </c>
      <c r="T241">
        <v>37.550803000000002</v>
      </c>
      <c r="U241">
        <v>126.91672199999999</v>
      </c>
      <c r="V241" t="s">
        <v>409</v>
      </c>
      <c r="W241" t="s">
        <v>410</v>
      </c>
      <c r="X241">
        <v>1</v>
      </c>
      <c r="Y241">
        <v>0</v>
      </c>
      <c r="Z241">
        <v>0</v>
      </c>
      <c r="AA241" t="s">
        <v>113</v>
      </c>
      <c r="AB241" t="s">
        <v>411</v>
      </c>
      <c r="AC241">
        <v>220000</v>
      </c>
      <c r="AD241">
        <v>0</v>
      </c>
      <c r="AE241" t="s">
        <v>101</v>
      </c>
      <c r="AF241" t="s">
        <v>115</v>
      </c>
      <c r="AG241" t="s">
        <v>116</v>
      </c>
      <c r="AH241">
        <v>244.27878031988089</v>
      </c>
      <c r="AI241" t="s">
        <v>47</v>
      </c>
      <c r="AJ241" t="s">
        <v>104</v>
      </c>
      <c r="AK241">
        <v>203.1206532669033</v>
      </c>
      <c r="AL241">
        <v>1</v>
      </c>
      <c r="AM241" s="41" t="s">
        <v>348</v>
      </c>
    </row>
    <row r="242" spans="1:56">
      <c r="A242">
        <v>2609969189</v>
      </c>
      <c r="B242">
        <v>1144012000</v>
      </c>
      <c r="C242" t="s">
        <v>134</v>
      </c>
      <c r="D242" t="s">
        <v>0</v>
      </c>
      <c r="E242" t="s">
        <v>94</v>
      </c>
      <c r="F242" t="s">
        <v>95</v>
      </c>
      <c r="G242" t="s">
        <v>35</v>
      </c>
      <c r="H242">
        <v>2</v>
      </c>
      <c r="I242">
        <v>140000</v>
      </c>
      <c r="J242">
        <v>0</v>
      </c>
      <c r="K242" t="s">
        <v>269</v>
      </c>
      <c r="L242">
        <v>196</v>
      </c>
      <c r="M242">
        <v>59</v>
      </c>
      <c r="N242">
        <v>2372</v>
      </c>
      <c r="O242">
        <v>88.46</v>
      </c>
      <c r="P242">
        <v>26</v>
      </c>
      <c r="Q242">
        <v>5385</v>
      </c>
      <c r="R242" t="s">
        <v>96</v>
      </c>
      <c r="S242" s="40">
        <v>46076</v>
      </c>
      <c r="T242">
        <v>37.550941999999999</v>
      </c>
      <c r="U242">
        <v>126.913787</v>
      </c>
      <c r="V242" t="s">
        <v>295</v>
      </c>
      <c r="W242" t="s">
        <v>189</v>
      </c>
      <c r="X242">
        <v>1</v>
      </c>
      <c r="Y242">
        <v>0</v>
      </c>
      <c r="Z242">
        <v>0</v>
      </c>
      <c r="AA242" t="s">
        <v>139</v>
      </c>
      <c r="AB242" t="s">
        <v>190</v>
      </c>
      <c r="AC242">
        <v>140000</v>
      </c>
      <c r="AD242">
        <v>0</v>
      </c>
      <c r="AE242" t="s">
        <v>101</v>
      </c>
      <c r="AF242" t="s">
        <v>115</v>
      </c>
      <c r="AG242" t="s">
        <v>116</v>
      </c>
      <c r="AH242">
        <v>132.09524505029225</v>
      </c>
      <c r="AI242" t="s">
        <v>47</v>
      </c>
      <c r="AJ242" t="s">
        <v>104</v>
      </c>
      <c r="AK242">
        <v>528.49483569447079</v>
      </c>
      <c r="AL242">
        <v>1</v>
      </c>
      <c r="AM242" s="41" t="s">
        <v>178</v>
      </c>
      <c r="AN242">
        <f>IFERROR(VALUE(LEFT($W242,FIND("년",$W242)-1)),"")</f>
        <v>15</v>
      </c>
      <c r="AO242" t="str">
        <f>IFERROR(IF(FIND("년",$W242)=3,MID($W242,FIND("년",$W242)+1,FIND("년",$W242)-1),MID($W242,FIND("년",$W242)+1,FIND("년",$W242))),"")</f>
        <v>이내</v>
      </c>
      <c r="AP242">
        <f>IFERROR(IF($AN242&lt;11,10,IF(AND($AN242&lt;26,$AO242="이내"),25,26)),"")</f>
        <v>25</v>
      </c>
      <c r="AQ242">
        <f>IFERROR(IF($P242&lt;10,9,IF($P242&lt;20,10,IF($P242&lt;30,20,IF($P242&lt;40,30,40)))),"")</f>
        <v>20</v>
      </c>
      <c r="AR242" t="str">
        <f>IFERROR(IF($D242="상가",IF($G242="1","1층",IF($G242="전체층","전체층",IF(LEFT($G242,1)="B","B1",IF($G242&lt;6,"저",IF($G242/$H242&lt;=$BC$9,"저",IF($G242/$H242&lt;=$BC$10,"중","고")))))),IF(LEFT($G242,1)="B","B1",IF($H242&lt;6,"저",IF($G242/$H242&lt;=$BC$2,"저",IF($G242/$H242&lt;=$BC$3,"중","고"))))),"")</f>
        <v>B1</v>
      </c>
      <c r="AS242">
        <f>IFERROR(ACOS(SIN(RADIANS(거래사례!$S$11))*SIN(RADIANS($T242))+COS(RADIANS(거래사례!$S$11))*COS(RADIANS($T242))*COS(RADIANS($U242-거래사례!$P$11)))*6371000,"")</f>
        <v>1675.8614531849782</v>
      </c>
    </row>
    <row r="243" spans="1:56" hidden="1">
      <c r="A243">
        <v>2609679004</v>
      </c>
      <c r="B243">
        <v>1144012000</v>
      </c>
      <c r="C243" t="s">
        <v>134</v>
      </c>
      <c r="D243" t="s">
        <v>0</v>
      </c>
      <c r="E243" t="s">
        <v>94</v>
      </c>
      <c r="F243" t="s">
        <v>95</v>
      </c>
      <c r="G243">
        <v>1</v>
      </c>
      <c r="H243">
        <v>6</v>
      </c>
      <c r="I243">
        <v>45000</v>
      </c>
      <c r="J243">
        <v>0</v>
      </c>
      <c r="K243" t="s">
        <v>203</v>
      </c>
      <c r="L243">
        <v>28</v>
      </c>
      <c r="M243">
        <v>8</v>
      </c>
      <c r="N243">
        <v>5625</v>
      </c>
      <c r="O243">
        <v>10.7</v>
      </c>
      <c r="P243">
        <v>3</v>
      </c>
      <c r="Q243">
        <v>15000</v>
      </c>
      <c r="R243" t="s">
        <v>110</v>
      </c>
      <c r="S243" s="40">
        <v>46073</v>
      </c>
      <c r="T243">
        <v>37.553488000000002</v>
      </c>
      <c r="U243">
        <v>126.92430400000001</v>
      </c>
      <c r="V243" t="s">
        <v>640</v>
      </c>
      <c r="W243" t="s">
        <v>470</v>
      </c>
      <c r="X243">
        <v>1</v>
      </c>
      <c r="Y243">
        <v>0</v>
      </c>
      <c r="Z243">
        <v>0</v>
      </c>
      <c r="AA243" t="s">
        <v>113</v>
      </c>
      <c r="AB243" t="s">
        <v>429</v>
      </c>
      <c r="AC243">
        <v>45000</v>
      </c>
      <c r="AD243">
        <v>0</v>
      </c>
      <c r="AE243" t="s">
        <v>101</v>
      </c>
      <c r="AF243" t="s">
        <v>165</v>
      </c>
      <c r="AG243" t="s">
        <v>166</v>
      </c>
      <c r="AH243">
        <v>385.18638332688346</v>
      </c>
      <c r="AI243" t="s">
        <v>47</v>
      </c>
      <c r="AJ243" t="s">
        <v>104</v>
      </c>
      <c r="AK243">
        <v>730.39400802924092</v>
      </c>
      <c r="AL243" t="s">
        <v>105</v>
      </c>
      <c r="AM243" s="41" t="s">
        <v>563</v>
      </c>
    </row>
    <row r="244" spans="1:56">
      <c r="A244">
        <v>2610784572</v>
      </c>
      <c r="B244">
        <v>1141011600</v>
      </c>
      <c r="C244" t="s">
        <v>134</v>
      </c>
      <c r="D244" t="s">
        <v>0</v>
      </c>
      <c r="E244" t="s">
        <v>94</v>
      </c>
      <c r="F244" t="s">
        <v>95</v>
      </c>
      <c r="G244">
        <v>2</v>
      </c>
      <c r="H244">
        <v>15</v>
      </c>
      <c r="I244">
        <v>130000</v>
      </c>
      <c r="J244">
        <v>0</v>
      </c>
      <c r="K244" t="s">
        <v>309</v>
      </c>
      <c r="L244">
        <v>187</v>
      </c>
      <c r="M244">
        <v>56</v>
      </c>
      <c r="N244">
        <v>2321</v>
      </c>
      <c r="O244">
        <v>79.849999999999994</v>
      </c>
      <c r="P244">
        <v>24</v>
      </c>
      <c r="Q244">
        <v>5417</v>
      </c>
      <c r="R244" t="s">
        <v>161</v>
      </c>
      <c r="S244" s="40">
        <v>46079</v>
      </c>
      <c r="T244">
        <v>37.556610999999997</v>
      </c>
      <c r="U244">
        <v>126.93375399999999</v>
      </c>
      <c r="W244" t="s">
        <v>147</v>
      </c>
      <c r="X244">
        <v>1</v>
      </c>
      <c r="Y244">
        <v>0</v>
      </c>
      <c r="Z244">
        <v>0</v>
      </c>
      <c r="AA244" t="s">
        <v>99</v>
      </c>
      <c r="AB244" t="s">
        <v>451</v>
      </c>
      <c r="AC244">
        <v>130000</v>
      </c>
      <c r="AD244">
        <v>0</v>
      </c>
      <c r="AE244" t="s">
        <v>101</v>
      </c>
      <c r="AF244" t="s">
        <v>436</v>
      </c>
      <c r="AG244" t="s">
        <v>437</v>
      </c>
      <c r="AH244">
        <v>475.55123421834617</v>
      </c>
      <c r="AI244" t="s">
        <v>47</v>
      </c>
      <c r="AJ244" t="s">
        <v>104</v>
      </c>
      <c r="AK244">
        <v>1119.8097701998474</v>
      </c>
      <c r="AL244" t="s">
        <v>105</v>
      </c>
      <c r="AM244" s="41" t="s">
        <v>549</v>
      </c>
      <c r="AN244">
        <f>IFERROR(VALUE(LEFT($W244,FIND("년",$W244)-1)),"")</f>
        <v>10</v>
      </c>
      <c r="AO244" t="str">
        <f>IFERROR(IF(FIND("년",$W244)=3,MID($W244,FIND("년",$W244)+1,FIND("년",$W244)-1),MID($W244,FIND("년",$W244)+1,FIND("년",$W244))),"")</f>
        <v>이내</v>
      </c>
      <c r="AP244">
        <f>IFERROR(IF($AN244&lt;11,10,IF(AND($AN244&lt;26,$AO244="이내"),25,26)),"")</f>
        <v>10</v>
      </c>
      <c r="AQ244">
        <f>IFERROR(IF($P244&lt;10,9,IF($P244&lt;20,10,IF($P244&lt;30,20,IF($P244&lt;40,30,40)))),"")</f>
        <v>20</v>
      </c>
      <c r="AR244" t="str">
        <f>IFERROR(IF($D244="상가",IF($G244="1","1층",IF($G244="전체층","전체층",IF(LEFT($G244,1)="B","B1",IF($G244&lt;6,"저",IF($G244/$H244&lt;=$BC$9,"저",IF($G244/$H244&lt;=$BC$10,"중","고")))))),IF(LEFT($G244,1)="B","B1",IF($H244&lt;6,"저",IF($G244/$H244&lt;=$BC$2,"저",IF($G244/$H244&lt;=$BC$3,"중","고"))))),"")</f>
        <v>저</v>
      </c>
      <c r="AS244">
        <f>IFERROR(ACOS(SIN(RADIANS(거래사례!$S$11))*SIN(RADIANS($T244))+COS(RADIANS(거래사례!$S$11))*COS(RADIANS($T244))*COS(RADIANS($U244-거래사례!$P$11)))*6371000,"")</f>
        <v>537.86366187004944</v>
      </c>
    </row>
    <row r="245" spans="1:56" hidden="1">
      <c r="A245">
        <v>2610273517</v>
      </c>
      <c r="B245">
        <v>1144012400</v>
      </c>
      <c r="C245" t="s">
        <v>93</v>
      </c>
      <c r="D245" t="s">
        <v>0</v>
      </c>
      <c r="E245" t="s">
        <v>94</v>
      </c>
      <c r="F245" t="s">
        <v>119</v>
      </c>
      <c r="G245">
        <v>1</v>
      </c>
      <c r="H245">
        <v>3</v>
      </c>
      <c r="I245">
        <v>255000</v>
      </c>
      <c r="J245">
        <v>0</v>
      </c>
      <c r="K245" t="s">
        <v>645</v>
      </c>
      <c r="L245">
        <v>99</v>
      </c>
      <c r="M245">
        <v>29</v>
      </c>
      <c r="N245">
        <v>8793</v>
      </c>
      <c r="O245">
        <v>38.82</v>
      </c>
      <c r="P245">
        <v>11</v>
      </c>
      <c r="Q245">
        <v>23182</v>
      </c>
      <c r="R245" t="s">
        <v>96</v>
      </c>
      <c r="S245" s="40">
        <v>46076</v>
      </c>
      <c r="T245">
        <v>37.562255</v>
      </c>
      <c r="U245">
        <v>126.92640299999999</v>
      </c>
      <c r="V245" t="s">
        <v>646</v>
      </c>
      <c r="W245" t="s">
        <v>584</v>
      </c>
      <c r="X245">
        <v>1</v>
      </c>
      <c r="Y245">
        <v>0</v>
      </c>
      <c r="Z245">
        <v>0</v>
      </c>
      <c r="AA245" t="s">
        <v>124</v>
      </c>
      <c r="AB245" t="s">
        <v>647</v>
      </c>
      <c r="AC245">
        <v>255000</v>
      </c>
      <c r="AD245">
        <v>0</v>
      </c>
      <c r="AE245" t="s">
        <v>101</v>
      </c>
      <c r="AF245" t="s">
        <v>165</v>
      </c>
      <c r="AG245" t="s">
        <v>166</v>
      </c>
      <c r="AH245">
        <v>359.12852725158257</v>
      </c>
      <c r="AI245" t="s">
        <v>47</v>
      </c>
      <c r="AJ245" t="s">
        <v>104</v>
      </c>
      <c r="AK245">
        <v>873.38427990074229</v>
      </c>
      <c r="AL245" t="s">
        <v>105</v>
      </c>
      <c r="AM245" s="41" t="s">
        <v>648</v>
      </c>
    </row>
    <row r="246" spans="1:56">
      <c r="A246">
        <v>2610784572</v>
      </c>
      <c r="B246">
        <v>1141011600</v>
      </c>
      <c r="C246" t="s">
        <v>134</v>
      </c>
      <c r="D246" t="s">
        <v>0</v>
      </c>
      <c r="E246" t="s">
        <v>94</v>
      </c>
      <c r="F246" t="s">
        <v>95</v>
      </c>
      <c r="G246">
        <v>2</v>
      </c>
      <c r="H246">
        <v>15</v>
      </c>
      <c r="I246">
        <v>130000</v>
      </c>
      <c r="J246">
        <v>0</v>
      </c>
      <c r="K246" t="s">
        <v>309</v>
      </c>
      <c r="L246">
        <v>187</v>
      </c>
      <c r="M246">
        <v>56</v>
      </c>
      <c r="N246">
        <v>2321</v>
      </c>
      <c r="O246">
        <v>79.849999999999994</v>
      </c>
      <c r="P246">
        <v>24</v>
      </c>
      <c r="Q246">
        <v>5417</v>
      </c>
      <c r="R246" t="s">
        <v>161</v>
      </c>
      <c r="S246" s="40">
        <v>46079</v>
      </c>
      <c r="T246">
        <v>37.556610999999997</v>
      </c>
      <c r="U246">
        <v>126.93375399999999</v>
      </c>
      <c r="W246" t="s">
        <v>147</v>
      </c>
      <c r="X246">
        <v>1</v>
      </c>
      <c r="Y246">
        <v>0</v>
      </c>
      <c r="Z246">
        <v>0</v>
      </c>
      <c r="AA246" t="s">
        <v>99</v>
      </c>
      <c r="AB246" t="s">
        <v>451</v>
      </c>
      <c r="AC246">
        <v>130000</v>
      </c>
      <c r="AD246">
        <v>0</v>
      </c>
      <c r="AE246" t="s">
        <v>101</v>
      </c>
      <c r="AF246" t="s">
        <v>436</v>
      </c>
      <c r="AG246" t="s">
        <v>437</v>
      </c>
      <c r="AH246">
        <v>475.55123421834617</v>
      </c>
      <c r="AI246" t="s">
        <v>47</v>
      </c>
      <c r="AJ246" t="s">
        <v>104</v>
      </c>
      <c r="AK246">
        <v>1119.8097701998474</v>
      </c>
      <c r="AL246" t="s">
        <v>105</v>
      </c>
      <c r="AM246" s="41" t="s">
        <v>549</v>
      </c>
      <c r="AN246">
        <f t="shared" ref="AN246:AN249" si="115">IFERROR(VALUE(LEFT($W246,FIND("년",$W246)-1)),"")</f>
        <v>10</v>
      </c>
      <c r="AO246" t="str">
        <f t="shared" ref="AO246:AO249" si="116">IFERROR(IF(FIND("년",$W246)=3,MID($W246,FIND("년",$W246)+1,FIND("년",$W246)-1),MID($W246,FIND("년",$W246)+1,FIND("년",$W246))),"")</f>
        <v>이내</v>
      </c>
      <c r="AP246">
        <f t="shared" ref="AP246:AP249" si="117">IFERROR(IF($AN246&lt;11,10,IF(AND($AN246&lt;26,$AO246="이내"),25,26)),"")</f>
        <v>10</v>
      </c>
      <c r="AQ246">
        <f t="shared" ref="AQ246:AQ249" si="118">IFERROR(IF($P246&lt;10,9,IF($P246&lt;20,10,IF($P246&lt;30,20,IF($P246&lt;40,30,40)))),"")</f>
        <v>20</v>
      </c>
      <c r="AR246" t="str">
        <f t="shared" ref="AR246:AR249" si="119">IFERROR(IF($D246="상가",IF($G246="1","1층",IF($G246="전체층","전체층",IF(LEFT($G246,1)="B","B1",IF($G246&lt;6,"저",IF($G246/$H246&lt;=$BC$9,"저",IF($G246/$H246&lt;=$BC$10,"중","고")))))),IF(LEFT($G246,1)="B","B1",IF($H246&lt;6,"저",IF($G246/$H246&lt;=$BC$2,"저",IF($G246/$H246&lt;=$BC$3,"중","고"))))),"")</f>
        <v>저</v>
      </c>
      <c r="AS246">
        <f>IFERROR(ACOS(SIN(RADIANS(거래사례!$S$11))*SIN(RADIANS($T246))+COS(RADIANS(거래사례!$S$11))*COS(RADIANS($T246))*COS(RADIANS($U246-거래사례!$P$11)))*6371000,"")</f>
        <v>537.86366187004944</v>
      </c>
      <c r="BB246" t="s">
        <v>107</v>
      </c>
      <c r="BC246">
        <v>0.2</v>
      </c>
      <c r="BD246">
        <v>0</v>
      </c>
    </row>
    <row r="247" spans="1:56">
      <c r="A247">
        <v>2610176409</v>
      </c>
      <c r="B247">
        <v>1144012200</v>
      </c>
      <c r="C247" t="s">
        <v>134</v>
      </c>
      <c r="D247" t="s">
        <v>0</v>
      </c>
      <c r="E247" t="s">
        <v>94</v>
      </c>
      <c r="F247" t="s">
        <v>135</v>
      </c>
      <c r="G247">
        <v>1</v>
      </c>
      <c r="H247">
        <v>36</v>
      </c>
      <c r="I247">
        <v>115000</v>
      </c>
      <c r="J247">
        <v>0</v>
      </c>
      <c r="K247" t="s">
        <v>302</v>
      </c>
      <c r="L247">
        <v>217</v>
      </c>
      <c r="M247">
        <v>65</v>
      </c>
      <c r="N247">
        <v>1769</v>
      </c>
      <c r="O247">
        <v>72.17</v>
      </c>
      <c r="P247">
        <v>21</v>
      </c>
      <c r="Q247">
        <v>5476</v>
      </c>
      <c r="R247" t="s">
        <v>154</v>
      </c>
      <c r="S247" s="40">
        <v>46076</v>
      </c>
      <c r="T247">
        <v>37.551057</v>
      </c>
      <c r="U247">
        <v>126.911867</v>
      </c>
      <c r="V247" t="s">
        <v>303</v>
      </c>
      <c r="W247" t="s">
        <v>259</v>
      </c>
      <c r="X247">
        <v>1</v>
      </c>
      <c r="Y247">
        <v>0</v>
      </c>
      <c r="Z247">
        <v>0</v>
      </c>
      <c r="AA247" t="s">
        <v>139</v>
      </c>
      <c r="AB247" t="s">
        <v>140</v>
      </c>
      <c r="AC247">
        <v>115000</v>
      </c>
      <c r="AD247">
        <v>0</v>
      </c>
      <c r="AE247" t="s">
        <v>101</v>
      </c>
      <c r="AF247" t="s">
        <v>115</v>
      </c>
      <c r="AG247" t="s">
        <v>116</v>
      </c>
      <c r="AH247">
        <v>248.53865605694642</v>
      </c>
      <c r="AI247" t="s">
        <v>47</v>
      </c>
      <c r="AJ247" t="s">
        <v>104</v>
      </c>
      <c r="AK247">
        <v>742.41426284908061</v>
      </c>
      <c r="AL247" t="s">
        <v>105</v>
      </c>
      <c r="AM247" s="41" t="s">
        <v>150</v>
      </c>
      <c r="AN247">
        <f t="shared" si="115"/>
        <v>10</v>
      </c>
      <c r="AO247" t="str">
        <f t="shared" si="116"/>
        <v>이내</v>
      </c>
      <c r="AP247">
        <f t="shared" si="117"/>
        <v>10</v>
      </c>
      <c r="AQ247">
        <f t="shared" si="118"/>
        <v>20</v>
      </c>
      <c r="AR247" t="str">
        <f t="shared" si="119"/>
        <v>저</v>
      </c>
      <c r="AS247">
        <f>IFERROR(ACOS(SIN(RADIANS(거래사례!$S$11))*SIN(RADIANS($T247))+COS(RADIANS(거래사례!$S$11))*COS(RADIANS($T247))*COS(RADIANS($U247-거래사례!$P$11)))*6371000,"")</f>
        <v>1808.6065497056816</v>
      </c>
      <c r="BB247" t="s">
        <v>118</v>
      </c>
      <c r="BC247">
        <v>0.6</v>
      </c>
      <c r="BD247">
        <v>0</v>
      </c>
    </row>
    <row r="248" spans="1:56">
      <c r="A248">
        <v>2610176409</v>
      </c>
      <c r="B248">
        <v>1144012200</v>
      </c>
      <c r="C248" t="s">
        <v>134</v>
      </c>
      <c r="D248" t="s">
        <v>0</v>
      </c>
      <c r="E248" t="s">
        <v>94</v>
      </c>
      <c r="F248" t="s">
        <v>135</v>
      </c>
      <c r="G248">
        <v>1</v>
      </c>
      <c r="H248">
        <v>36</v>
      </c>
      <c r="I248">
        <v>115000</v>
      </c>
      <c r="J248">
        <v>0</v>
      </c>
      <c r="K248" t="s">
        <v>302</v>
      </c>
      <c r="L248">
        <v>217</v>
      </c>
      <c r="M248">
        <v>65</v>
      </c>
      <c r="N248">
        <v>1769</v>
      </c>
      <c r="O248">
        <v>72.17</v>
      </c>
      <c r="P248">
        <v>21</v>
      </c>
      <c r="Q248">
        <v>5476</v>
      </c>
      <c r="R248" t="s">
        <v>154</v>
      </c>
      <c r="S248" s="40">
        <v>46076</v>
      </c>
      <c r="T248">
        <v>37.551057</v>
      </c>
      <c r="U248">
        <v>126.911867</v>
      </c>
      <c r="V248" t="s">
        <v>303</v>
      </c>
      <c r="W248" t="s">
        <v>259</v>
      </c>
      <c r="X248">
        <v>1</v>
      </c>
      <c r="Y248">
        <v>0</v>
      </c>
      <c r="Z248">
        <v>0</v>
      </c>
      <c r="AA248" t="s">
        <v>139</v>
      </c>
      <c r="AB248" t="s">
        <v>140</v>
      </c>
      <c r="AC248">
        <v>115000</v>
      </c>
      <c r="AD248">
        <v>0</v>
      </c>
      <c r="AE248" t="s">
        <v>101</v>
      </c>
      <c r="AF248" t="s">
        <v>115</v>
      </c>
      <c r="AG248" t="s">
        <v>116</v>
      </c>
      <c r="AH248">
        <v>248.53865605694642</v>
      </c>
      <c r="AI248" t="s">
        <v>47</v>
      </c>
      <c r="AJ248" t="s">
        <v>104</v>
      </c>
      <c r="AK248">
        <v>742.41426284908061</v>
      </c>
      <c r="AL248" t="s">
        <v>105</v>
      </c>
      <c r="AM248" s="41" t="s">
        <v>150</v>
      </c>
      <c r="AN248">
        <f t="shared" si="115"/>
        <v>10</v>
      </c>
      <c r="AO248" t="str">
        <f t="shared" si="116"/>
        <v>이내</v>
      </c>
      <c r="AP248">
        <f t="shared" si="117"/>
        <v>10</v>
      </c>
      <c r="AQ248">
        <f t="shared" si="118"/>
        <v>20</v>
      </c>
      <c r="AR248" t="str">
        <f t="shared" si="119"/>
        <v>저</v>
      </c>
      <c r="AS248">
        <f>IFERROR(ACOS(SIN(RADIANS(거래사례!$S$11))*SIN(RADIANS($T248))+COS(RADIANS(거래사례!$S$11))*COS(RADIANS($T248))*COS(RADIANS($U248-거래사례!$P$11)))*6371000,"")</f>
        <v>1808.6065497056816</v>
      </c>
      <c r="BB248" t="s">
        <v>127</v>
      </c>
      <c r="BC248">
        <v>1</v>
      </c>
      <c r="BD248">
        <v>0</v>
      </c>
    </row>
    <row r="249" spans="1:56">
      <c r="A249">
        <v>2609220621</v>
      </c>
      <c r="B249">
        <v>1144012400</v>
      </c>
      <c r="C249" t="s">
        <v>93</v>
      </c>
      <c r="D249" t="s">
        <v>0</v>
      </c>
      <c r="E249" t="s">
        <v>94</v>
      </c>
      <c r="F249" t="s">
        <v>135</v>
      </c>
      <c r="G249" t="s">
        <v>3</v>
      </c>
      <c r="H249">
        <v>3</v>
      </c>
      <c r="I249">
        <v>460000</v>
      </c>
      <c r="J249">
        <v>0</v>
      </c>
      <c r="K249" t="s">
        <v>412</v>
      </c>
      <c r="L249">
        <v>263</v>
      </c>
      <c r="M249">
        <v>79</v>
      </c>
      <c r="N249">
        <v>5822</v>
      </c>
      <c r="O249">
        <v>263.33999999999997</v>
      </c>
      <c r="P249">
        <v>79</v>
      </c>
      <c r="Q249">
        <v>5823</v>
      </c>
      <c r="R249" t="s">
        <v>136</v>
      </c>
      <c r="S249" s="40">
        <v>46072</v>
      </c>
      <c r="T249">
        <v>37.561159000000004</v>
      </c>
      <c r="U249">
        <v>126.925358</v>
      </c>
      <c r="V249" t="s">
        <v>556</v>
      </c>
      <c r="W249" t="s">
        <v>557</v>
      </c>
      <c r="X249">
        <v>1</v>
      </c>
      <c r="Y249">
        <v>0</v>
      </c>
      <c r="Z249">
        <v>0</v>
      </c>
      <c r="AA249" t="s">
        <v>222</v>
      </c>
      <c r="AB249" t="s">
        <v>255</v>
      </c>
      <c r="AC249">
        <v>460000</v>
      </c>
      <c r="AD249">
        <v>0</v>
      </c>
      <c r="AE249" t="s">
        <v>101</v>
      </c>
      <c r="AF249" t="s">
        <v>165</v>
      </c>
      <c r="AG249" t="s">
        <v>166</v>
      </c>
      <c r="AH249">
        <v>201.71075416291089</v>
      </c>
      <c r="AI249" t="s">
        <v>47</v>
      </c>
      <c r="AJ249" t="s">
        <v>104</v>
      </c>
      <c r="AK249">
        <v>1041.457624302315</v>
      </c>
      <c r="AL249" t="s">
        <v>105</v>
      </c>
      <c r="AM249" s="41" t="s">
        <v>558</v>
      </c>
      <c r="AN249">
        <f t="shared" si="115"/>
        <v>25</v>
      </c>
      <c r="AO249" t="str">
        <f t="shared" si="116"/>
        <v>이상</v>
      </c>
      <c r="AP249">
        <f t="shared" si="117"/>
        <v>26</v>
      </c>
      <c r="AQ249">
        <f t="shared" si="118"/>
        <v>40</v>
      </c>
      <c r="AR249" t="str">
        <f t="shared" si="119"/>
        <v>전체층</v>
      </c>
      <c r="AS249">
        <f>IFERROR(ACOS(SIN(RADIANS(거래사례!$S$11))*SIN(RADIANS($T249))+COS(RADIANS(거래사례!$S$11))*COS(RADIANS($T249))*COS(RADIANS($U249-거래사례!$P$11)))*6371000,"")</f>
        <v>368.15078658655409</v>
      </c>
      <c r="BB249" t="s">
        <v>35</v>
      </c>
      <c r="BD249">
        <v>0</v>
      </c>
    </row>
    <row r="250" spans="1:56" hidden="1">
      <c r="A250">
        <v>2611451994</v>
      </c>
      <c r="B250">
        <v>1141012000</v>
      </c>
      <c r="C250" t="s">
        <v>93</v>
      </c>
      <c r="D250" t="s">
        <v>0</v>
      </c>
      <c r="E250" t="s">
        <v>94</v>
      </c>
      <c r="F250" t="s">
        <v>119</v>
      </c>
      <c r="G250">
        <v>1</v>
      </c>
      <c r="H250">
        <v>4</v>
      </c>
      <c r="I250">
        <v>19000</v>
      </c>
      <c r="J250">
        <v>0</v>
      </c>
      <c r="K250" t="s">
        <v>649</v>
      </c>
      <c r="L250">
        <v>44</v>
      </c>
      <c r="M250">
        <v>13</v>
      </c>
      <c r="N250">
        <v>1461</v>
      </c>
      <c r="O250">
        <v>44.46</v>
      </c>
      <c r="P250">
        <v>13</v>
      </c>
      <c r="Q250">
        <v>1462</v>
      </c>
      <c r="R250" t="s">
        <v>161</v>
      </c>
      <c r="S250" s="40">
        <v>46083</v>
      </c>
      <c r="T250">
        <v>37.570109000000002</v>
      </c>
      <c r="U250">
        <v>126.91678400000001</v>
      </c>
      <c r="V250" t="s">
        <v>650</v>
      </c>
      <c r="W250" t="s">
        <v>651</v>
      </c>
      <c r="X250">
        <v>1</v>
      </c>
      <c r="Y250">
        <v>0</v>
      </c>
      <c r="Z250">
        <v>0</v>
      </c>
      <c r="AA250" t="s">
        <v>124</v>
      </c>
      <c r="AB250" t="s">
        <v>652</v>
      </c>
      <c r="AC250">
        <v>19000</v>
      </c>
      <c r="AD250">
        <v>0</v>
      </c>
      <c r="AE250" t="s">
        <v>101</v>
      </c>
      <c r="AF250" t="s">
        <v>653</v>
      </c>
      <c r="AG250" t="s">
        <v>476</v>
      </c>
      <c r="AH250">
        <v>231.47204539129677</v>
      </c>
      <c r="AI250" t="s">
        <v>46</v>
      </c>
      <c r="AJ250" t="s">
        <v>104</v>
      </c>
      <c r="AK250">
        <v>1379.2058260384874</v>
      </c>
      <c r="AL250" t="s">
        <v>105</v>
      </c>
      <c r="AM250" s="41" t="s">
        <v>654</v>
      </c>
    </row>
    <row r="251" spans="1:56" hidden="1">
      <c r="A251">
        <v>2609184555</v>
      </c>
      <c r="B251">
        <v>1144012100</v>
      </c>
      <c r="C251" t="s">
        <v>134</v>
      </c>
      <c r="D251" t="s">
        <v>0</v>
      </c>
      <c r="E251" t="s">
        <v>94</v>
      </c>
      <c r="F251" t="s">
        <v>95</v>
      </c>
      <c r="G251" t="s">
        <v>35</v>
      </c>
      <c r="H251">
        <v>18</v>
      </c>
      <c r="I251">
        <v>12000</v>
      </c>
      <c r="J251">
        <v>0</v>
      </c>
      <c r="K251" t="s">
        <v>439</v>
      </c>
      <c r="L251">
        <v>55</v>
      </c>
      <c r="M251">
        <v>16</v>
      </c>
      <c r="N251">
        <v>750</v>
      </c>
      <c r="O251">
        <v>24.57</v>
      </c>
      <c r="P251">
        <v>7</v>
      </c>
      <c r="Q251">
        <v>1714</v>
      </c>
      <c r="R251" t="s">
        <v>145</v>
      </c>
      <c r="S251" s="40">
        <v>46072</v>
      </c>
      <c r="T251">
        <v>37.556083999999998</v>
      </c>
      <c r="U251">
        <v>126.923455</v>
      </c>
      <c r="V251" t="s">
        <v>440</v>
      </c>
      <c r="W251" t="s">
        <v>431</v>
      </c>
      <c r="X251">
        <v>2</v>
      </c>
      <c r="Y251" t="s">
        <v>439</v>
      </c>
      <c r="Z251" t="s">
        <v>439</v>
      </c>
      <c r="AA251" t="s">
        <v>113</v>
      </c>
      <c r="AB251" t="s">
        <v>432</v>
      </c>
      <c r="AC251">
        <v>12000</v>
      </c>
      <c r="AD251">
        <v>0</v>
      </c>
      <c r="AE251" t="s">
        <v>101</v>
      </c>
      <c r="AF251" t="s">
        <v>165</v>
      </c>
      <c r="AG251" t="s">
        <v>166</v>
      </c>
      <c r="AH251">
        <v>93.029525670005455</v>
      </c>
      <c r="AI251" t="s">
        <v>47</v>
      </c>
      <c r="AJ251" t="s">
        <v>104</v>
      </c>
      <c r="AK251">
        <v>837.53034349574909</v>
      </c>
      <c r="AL251" t="s">
        <v>105</v>
      </c>
      <c r="AM251" s="41" t="s">
        <v>426</v>
      </c>
      <c r="BB251" t="s">
        <v>0</v>
      </c>
    </row>
    <row r="252" spans="1:56" hidden="1">
      <c r="A252">
        <v>2608251372</v>
      </c>
      <c r="B252">
        <v>1144012100</v>
      </c>
      <c r="C252" t="s">
        <v>93</v>
      </c>
      <c r="D252" t="s">
        <v>0</v>
      </c>
      <c r="E252" t="s">
        <v>94</v>
      </c>
      <c r="F252" t="s">
        <v>119</v>
      </c>
      <c r="G252" t="s">
        <v>35</v>
      </c>
      <c r="H252">
        <v>18</v>
      </c>
      <c r="I252">
        <v>13000</v>
      </c>
      <c r="J252">
        <v>0</v>
      </c>
      <c r="K252" t="s">
        <v>441</v>
      </c>
      <c r="L252">
        <v>55</v>
      </c>
      <c r="M252">
        <v>16</v>
      </c>
      <c r="N252">
        <v>812</v>
      </c>
      <c r="O252">
        <v>24.57</v>
      </c>
      <c r="P252">
        <v>7</v>
      </c>
      <c r="Q252">
        <v>1857</v>
      </c>
      <c r="R252" t="s">
        <v>121</v>
      </c>
      <c r="S252" s="40">
        <v>46064</v>
      </c>
      <c r="T252">
        <v>37.556083999999998</v>
      </c>
      <c r="U252">
        <v>126.923455</v>
      </c>
      <c r="V252" t="s">
        <v>442</v>
      </c>
      <c r="W252" t="s">
        <v>431</v>
      </c>
      <c r="X252">
        <v>1</v>
      </c>
      <c r="Y252">
        <v>0</v>
      </c>
      <c r="Z252">
        <v>0</v>
      </c>
      <c r="AA252" t="s">
        <v>124</v>
      </c>
      <c r="AB252" t="s">
        <v>443</v>
      </c>
      <c r="AC252">
        <v>13000</v>
      </c>
      <c r="AD252">
        <v>0</v>
      </c>
      <c r="AE252" t="s">
        <v>101</v>
      </c>
      <c r="AF252" t="s">
        <v>165</v>
      </c>
      <c r="AG252" t="s">
        <v>166</v>
      </c>
      <c r="AH252">
        <v>93.029525670005455</v>
      </c>
      <c r="AI252" t="s">
        <v>47</v>
      </c>
      <c r="AJ252" t="s">
        <v>104</v>
      </c>
      <c r="AK252">
        <v>837.53034349574909</v>
      </c>
      <c r="AL252" t="s">
        <v>105</v>
      </c>
      <c r="AM252" s="41" t="s">
        <v>426</v>
      </c>
      <c r="BB252" t="s">
        <v>45</v>
      </c>
      <c r="BD252">
        <v>0</v>
      </c>
    </row>
    <row r="253" spans="1:56">
      <c r="A253">
        <v>2609220621</v>
      </c>
      <c r="B253">
        <v>1144012400</v>
      </c>
      <c r="C253" t="s">
        <v>93</v>
      </c>
      <c r="D253" t="s">
        <v>0</v>
      </c>
      <c r="E253" t="s">
        <v>94</v>
      </c>
      <c r="F253" t="s">
        <v>135</v>
      </c>
      <c r="G253" t="s">
        <v>3</v>
      </c>
      <c r="H253">
        <v>3</v>
      </c>
      <c r="I253">
        <v>460000</v>
      </c>
      <c r="J253">
        <v>0</v>
      </c>
      <c r="K253" t="s">
        <v>412</v>
      </c>
      <c r="L253">
        <v>263</v>
      </c>
      <c r="M253">
        <v>79</v>
      </c>
      <c r="N253">
        <v>5822</v>
      </c>
      <c r="O253">
        <v>263.33999999999997</v>
      </c>
      <c r="P253">
        <v>79</v>
      </c>
      <c r="Q253">
        <v>5823</v>
      </c>
      <c r="R253" t="s">
        <v>136</v>
      </c>
      <c r="S253" s="40">
        <v>46072</v>
      </c>
      <c r="T253">
        <v>37.561159000000004</v>
      </c>
      <c r="U253">
        <v>126.925358</v>
      </c>
      <c r="V253" t="s">
        <v>556</v>
      </c>
      <c r="W253" t="s">
        <v>557</v>
      </c>
      <c r="X253">
        <v>1</v>
      </c>
      <c r="Y253">
        <v>0</v>
      </c>
      <c r="Z253">
        <v>0</v>
      </c>
      <c r="AA253" t="s">
        <v>222</v>
      </c>
      <c r="AB253" t="s">
        <v>255</v>
      </c>
      <c r="AC253">
        <v>460000</v>
      </c>
      <c r="AD253">
        <v>0</v>
      </c>
      <c r="AE253" t="s">
        <v>101</v>
      </c>
      <c r="AF253" t="s">
        <v>165</v>
      </c>
      <c r="AG253" t="s">
        <v>166</v>
      </c>
      <c r="AH253">
        <v>201.71075416291089</v>
      </c>
      <c r="AI253" t="s">
        <v>47</v>
      </c>
      <c r="AJ253" t="s">
        <v>104</v>
      </c>
      <c r="AK253">
        <v>1041.457624302315</v>
      </c>
      <c r="AL253" t="s">
        <v>105</v>
      </c>
      <c r="AM253" s="41" t="s">
        <v>558</v>
      </c>
      <c r="AN253">
        <f t="shared" ref="AN253:AN254" si="120">IFERROR(VALUE(LEFT($W253,FIND("년",$W253)-1)),"")</f>
        <v>25</v>
      </c>
      <c r="AO253" t="str">
        <f t="shared" ref="AO253:AO254" si="121">IFERROR(IF(FIND("년",$W253)=3,MID($W253,FIND("년",$W253)+1,FIND("년",$W253)-1),MID($W253,FIND("년",$W253)+1,FIND("년",$W253))),"")</f>
        <v>이상</v>
      </c>
      <c r="AP253">
        <f t="shared" ref="AP253:AP254" si="122">IFERROR(IF($AN253&lt;11,10,IF(AND($AN253&lt;26,$AO253="이내"),25,26)),"")</f>
        <v>26</v>
      </c>
      <c r="AQ253">
        <f t="shared" ref="AQ253:AQ254" si="123">IFERROR(IF($P253&lt;10,9,IF($P253&lt;20,10,IF($P253&lt;30,20,IF($P253&lt;40,30,40)))),"")</f>
        <v>40</v>
      </c>
      <c r="AR253" t="str">
        <f t="shared" ref="AR253:AR254" si="124">IFERROR(IF($D253="상가",IF($G253="1","1층",IF($G253="전체층","전체층",IF(LEFT($G253,1)="B","B1",IF($G253&lt;6,"저",IF($G253/$H253&lt;=$BC$9,"저",IF($G253/$H253&lt;=$BC$10,"중","고")))))),IF(LEFT($G253,1)="B","B1",IF($H253&lt;6,"저",IF($G253/$H253&lt;=$BC$2,"저",IF($G253/$H253&lt;=$BC$3,"중","고"))))),"")</f>
        <v>전체층</v>
      </c>
      <c r="AS253">
        <f>IFERROR(ACOS(SIN(RADIANS(거래사례!$S$11))*SIN(RADIANS($T253))+COS(RADIANS(거래사례!$S$11))*COS(RADIANS($T253))*COS(RADIANS($U253-거래사례!$P$11)))*6371000,"")</f>
        <v>368.15078658655409</v>
      </c>
      <c r="BB253" t="s">
        <v>107</v>
      </c>
      <c r="BC253">
        <v>0.4</v>
      </c>
      <c r="BD253">
        <v>0</v>
      </c>
    </row>
    <row r="254" spans="1:56">
      <c r="A254">
        <v>2609220621</v>
      </c>
      <c r="B254">
        <v>1144012400</v>
      </c>
      <c r="C254" t="s">
        <v>93</v>
      </c>
      <c r="D254" t="s">
        <v>0</v>
      </c>
      <c r="E254" t="s">
        <v>94</v>
      </c>
      <c r="F254" t="s">
        <v>135</v>
      </c>
      <c r="G254" t="s">
        <v>3</v>
      </c>
      <c r="H254">
        <v>3</v>
      </c>
      <c r="I254">
        <v>460000</v>
      </c>
      <c r="J254">
        <v>0</v>
      </c>
      <c r="K254" t="s">
        <v>412</v>
      </c>
      <c r="L254">
        <v>263</v>
      </c>
      <c r="M254">
        <v>79</v>
      </c>
      <c r="N254">
        <v>5822</v>
      </c>
      <c r="O254">
        <v>263.33999999999997</v>
      </c>
      <c r="P254">
        <v>79</v>
      </c>
      <c r="Q254">
        <v>5823</v>
      </c>
      <c r="R254" t="s">
        <v>136</v>
      </c>
      <c r="S254" s="40">
        <v>46072</v>
      </c>
      <c r="T254">
        <v>37.561159000000004</v>
      </c>
      <c r="U254">
        <v>126.925358</v>
      </c>
      <c r="V254" t="s">
        <v>556</v>
      </c>
      <c r="W254" t="s">
        <v>557</v>
      </c>
      <c r="X254">
        <v>1</v>
      </c>
      <c r="Y254">
        <v>0</v>
      </c>
      <c r="Z254">
        <v>0</v>
      </c>
      <c r="AA254" t="s">
        <v>222</v>
      </c>
      <c r="AB254" t="s">
        <v>255</v>
      </c>
      <c r="AC254">
        <v>460000</v>
      </c>
      <c r="AD254">
        <v>0</v>
      </c>
      <c r="AE254" t="s">
        <v>101</v>
      </c>
      <c r="AF254" t="s">
        <v>165</v>
      </c>
      <c r="AG254" t="s">
        <v>166</v>
      </c>
      <c r="AH254">
        <v>201.71075416291089</v>
      </c>
      <c r="AI254" t="s">
        <v>47</v>
      </c>
      <c r="AJ254" t="s">
        <v>104</v>
      </c>
      <c r="AK254">
        <v>1041.457624302315</v>
      </c>
      <c r="AL254" t="s">
        <v>105</v>
      </c>
      <c r="AM254" s="41" t="s">
        <v>558</v>
      </c>
      <c r="AN254">
        <f t="shared" si="120"/>
        <v>25</v>
      </c>
      <c r="AO254" t="str">
        <f t="shared" si="121"/>
        <v>이상</v>
      </c>
      <c r="AP254">
        <f t="shared" si="122"/>
        <v>26</v>
      </c>
      <c r="AQ254">
        <f t="shared" si="123"/>
        <v>40</v>
      </c>
      <c r="AR254" t="str">
        <f t="shared" si="124"/>
        <v>전체층</v>
      </c>
      <c r="AS254">
        <f>IFERROR(ACOS(SIN(RADIANS(거래사례!$S$11))*SIN(RADIANS($T254))+COS(RADIANS(거래사례!$S$11))*COS(RADIANS($T254))*COS(RADIANS($U254-거래사례!$P$11)))*6371000,"")</f>
        <v>368.15078658655409</v>
      </c>
      <c r="BB254" t="s">
        <v>118</v>
      </c>
      <c r="BC254">
        <v>0.7</v>
      </c>
      <c r="BD254">
        <v>0</v>
      </c>
    </row>
    <row r="255" spans="1:56" hidden="1">
      <c r="A255">
        <v>2610024670</v>
      </c>
      <c r="B255">
        <v>1144012100</v>
      </c>
      <c r="C255" t="s">
        <v>134</v>
      </c>
      <c r="D255" t="s">
        <v>0</v>
      </c>
      <c r="E255" t="s">
        <v>94</v>
      </c>
      <c r="F255" t="s">
        <v>95</v>
      </c>
      <c r="G255" t="s">
        <v>35</v>
      </c>
      <c r="H255">
        <v>18</v>
      </c>
      <c r="I255">
        <v>18500</v>
      </c>
      <c r="J255">
        <v>0</v>
      </c>
      <c r="K255" t="s">
        <v>141</v>
      </c>
      <c r="L255">
        <v>55</v>
      </c>
      <c r="M255">
        <v>16</v>
      </c>
      <c r="N255">
        <v>1156</v>
      </c>
      <c r="O255">
        <v>24.57</v>
      </c>
      <c r="P255">
        <v>7</v>
      </c>
      <c r="Q255">
        <v>2643</v>
      </c>
      <c r="R255" t="s">
        <v>161</v>
      </c>
      <c r="S255" s="40">
        <v>46076</v>
      </c>
      <c r="T255">
        <v>37.556083999999998</v>
      </c>
      <c r="U255">
        <v>126.923455</v>
      </c>
      <c r="V255" t="s">
        <v>467</v>
      </c>
      <c r="W255" t="s">
        <v>425</v>
      </c>
      <c r="X255">
        <v>1</v>
      </c>
      <c r="Y255">
        <v>0</v>
      </c>
      <c r="Z255">
        <v>0</v>
      </c>
      <c r="AA255" t="s">
        <v>113</v>
      </c>
      <c r="AB255" t="s">
        <v>432</v>
      </c>
      <c r="AC255">
        <v>18500</v>
      </c>
      <c r="AD255">
        <v>0</v>
      </c>
      <c r="AE255" t="s">
        <v>101</v>
      </c>
      <c r="AF255" t="s">
        <v>165</v>
      </c>
      <c r="AG255" t="s">
        <v>166</v>
      </c>
      <c r="AH255">
        <v>93.029525670005455</v>
      </c>
      <c r="AI255" t="s">
        <v>47</v>
      </c>
      <c r="AJ255" t="s">
        <v>104</v>
      </c>
      <c r="AK255">
        <v>837.53034349574909</v>
      </c>
      <c r="AL255" t="s">
        <v>105</v>
      </c>
      <c r="AM255" s="41" t="s">
        <v>426</v>
      </c>
      <c r="BB255" t="s">
        <v>127</v>
      </c>
      <c r="BC255">
        <v>1</v>
      </c>
      <c r="BD255">
        <v>0</v>
      </c>
    </row>
    <row r="256" spans="1:56" hidden="1">
      <c r="A256">
        <v>2610266245</v>
      </c>
      <c r="B256">
        <v>1144012000</v>
      </c>
      <c r="C256" t="s">
        <v>134</v>
      </c>
      <c r="D256" t="s">
        <v>0</v>
      </c>
      <c r="E256" t="s">
        <v>94</v>
      </c>
      <c r="F256" t="s">
        <v>135</v>
      </c>
      <c r="G256">
        <v>1</v>
      </c>
      <c r="H256">
        <v>12</v>
      </c>
      <c r="I256">
        <v>25000</v>
      </c>
      <c r="J256">
        <v>0</v>
      </c>
      <c r="K256" t="s">
        <v>468</v>
      </c>
      <c r="L256">
        <v>45</v>
      </c>
      <c r="M256">
        <v>13</v>
      </c>
      <c r="N256">
        <v>1923</v>
      </c>
      <c r="O256">
        <v>30.41</v>
      </c>
      <c r="P256">
        <v>9</v>
      </c>
      <c r="Q256">
        <v>2778</v>
      </c>
      <c r="R256" t="s">
        <v>110</v>
      </c>
      <c r="S256" s="40">
        <v>46077</v>
      </c>
      <c r="T256">
        <v>37.557372999999998</v>
      </c>
      <c r="U256">
        <v>126.916798</v>
      </c>
      <c r="V256" t="s">
        <v>469</v>
      </c>
      <c r="W256" t="s">
        <v>470</v>
      </c>
      <c r="X256">
        <v>2</v>
      </c>
      <c r="Y256" t="s">
        <v>468</v>
      </c>
      <c r="Z256" t="s">
        <v>468</v>
      </c>
      <c r="AA256" t="s">
        <v>139</v>
      </c>
      <c r="AB256" t="s">
        <v>471</v>
      </c>
      <c r="AC256">
        <v>25000</v>
      </c>
      <c r="AD256">
        <v>0</v>
      </c>
      <c r="AE256" t="s">
        <v>101</v>
      </c>
      <c r="AF256" t="s">
        <v>102</v>
      </c>
      <c r="AG256" t="s">
        <v>103</v>
      </c>
      <c r="AH256">
        <v>767.08573569644557</v>
      </c>
      <c r="AI256" t="s">
        <v>47</v>
      </c>
      <c r="AJ256" t="s">
        <v>104</v>
      </c>
      <c r="AK256">
        <v>797.26044038606585</v>
      </c>
      <c r="AL256" t="s">
        <v>105</v>
      </c>
      <c r="AM256" s="41" t="s">
        <v>472</v>
      </c>
      <c r="BB256" t="s">
        <v>35</v>
      </c>
      <c r="BD256">
        <v>0</v>
      </c>
    </row>
    <row r="257" spans="1:56" hidden="1">
      <c r="A257">
        <v>2611760740</v>
      </c>
      <c r="B257">
        <v>1144012000</v>
      </c>
      <c r="C257" t="s">
        <v>134</v>
      </c>
      <c r="D257" t="s">
        <v>0</v>
      </c>
      <c r="E257" t="s">
        <v>94</v>
      </c>
      <c r="F257" t="s">
        <v>108</v>
      </c>
      <c r="G257">
        <v>1</v>
      </c>
      <c r="H257">
        <v>12</v>
      </c>
      <c r="I257">
        <v>48000</v>
      </c>
      <c r="J257">
        <v>0</v>
      </c>
      <c r="K257" t="s">
        <v>339</v>
      </c>
      <c r="L257">
        <v>81</v>
      </c>
      <c r="M257">
        <v>24</v>
      </c>
      <c r="N257">
        <v>2000</v>
      </c>
      <c r="O257">
        <v>50.2</v>
      </c>
      <c r="P257">
        <v>15</v>
      </c>
      <c r="Q257">
        <v>3200</v>
      </c>
      <c r="R257" t="s">
        <v>110</v>
      </c>
      <c r="S257" s="40">
        <v>46084</v>
      </c>
      <c r="T257">
        <v>37.557372000000001</v>
      </c>
      <c r="U257">
        <v>126.916798</v>
      </c>
      <c r="V257" t="s">
        <v>488</v>
      </c>
      <c r="W257" t="s">
        <v>489</v>
      </c>
      <c r="X257">
        <v>1</v>
      </c>
      <c r="Y257">
        <v>0</v>
      </c>
      <c r="Z257">
        <v>0</v>
      </c>
      <c r="AA257" t="s">
        <v>113</v>
      </c>
      <c r="AB257" t="s">
        <v>490</v>
      </c>
      <c r="AC257">
        <v>48000</v>
      </c>
      <c r="AD257">
        <v>0</v>
      </c>
      <c r="AE257" t="s">
        <v>101</v>
      </c>
      <c r="AF257" t="s">
        <v>102</v>
      </c>
      <c r="AG257" t="s">
        <v>103</v>
      </c>
      <c r="AH257">
        <v>767.06448863561582</v>
      </c>
      <c r="AI257" t="s">
        <v>47</v>
      </c>
      <c r="AJ257" t="s">
        <v>104</v>
      </c>
      <c r="AK257">
        <v>797.1523313902012</v>
      </c>
      <c r="AL257" t="s">
        <v>105</v>
      </c>
      <c r="AM257" s="41" t="s">
        <v>472</v>
      </c>
      <c r="BB257" t="s">
        <v>44</v>
      </c>
      <c r="BD257">
        <v>0</v>
      </c>
    </row>
    <row r="258" spans="1:56" hidden="1">
      <c r="A258">
        <v>2611583392</v>
      </c>
      <c r="B258">
        <v>1144012000</v>
      </c>
      <c r="C258" t="s">
        <v>134</v>
      </c>
      <c r="D258" t="s">
        <v>0</v>
      </c>
      <c r="E258" t="s">
        <v>94</v>
      </c>
      <c r="F258" t="s">
        <v>135</v>
      </c>
      <c r="G258">
        <v>1</v>
      </c>
      <c r="H258">
        <v>12</v>
      </c>
      <c r="I258">
        <v>48000</v>
      </c>
      <c r="J258">
        <v>0</v>
      </c>
      <c r="K258" t="s">
        <v>339</v>
      </c>
      <c r="L258">
        <v>50</v>
      </c>
      <c r="M258">
        <v>15</v>
      </c>
      <c r="N258">
        <v>3200</v>
      </c>
      <c r="O258">
        <v>50.2</v>
      </c>
      <c r="P258">
        <v>15</v>
      </c>
      <c r="Q258">
        <v>3200</v>
      </c>
      <c r="R258" t="s">
        <v>110</v>
      </c>
      <c r="S258" s="40">
        <v>46084</v>
      </c>
      <c r="T258">
        <v>37.557372000000001</v>
      </c>
      <c r="U258">
        <v>126.916798</v>
      </c>
      <c r="V258" t="s">
        <v>491</v>
      </c>
      <c r="W258" t="s">
        <v>489</v>
      </c>
      <c r="X258">
        <v>4</v>
      </c>
      <c r="Y258" t="s">
        <v>339</v>
      </c>
      <c r="Z258" t="s">
        <v>339</v>
      </c>
      <c r="AA258" t="s">
        <v>99</v>
      </c>
      <c r="AB258" t="s">
        <v>492</v>
      </c>
      <c r="AC258">
        <v>48000</v>
      </c>
      <c r="AD258">
        <v>0</v>
      </c>
      <c r="AE258" t="s">
        <v>101</v>
      </c>
      <c r="AF258" t="s">
        <v>102</v>
      </c>
      <c r="AG258" t="s">
        <v>103</v>
      </c>
      <c r="AH258">
        <v>767.06448863561582</v>
      </c>
      <c r="AI258" t="s">
        <v>47</v>
      </c>
      <c r="AJ258" t="s">
        <v>104</v>
      </c>
      <c r="AK258">
        <v>797.1523313902012</v>
      </c>
      <c r="AL258" t="s">
        <v>105</v>
      </c>
      <c r="AM258" s="41" t="s">
        <v>472</v>
      </c>
    </row>
    <row r="259" spans="1:56" hidden="1">
      <c r="A259">
        <v>2610693483</v>
      </c>
      <c r="B259">
        <v>1144012000</v>
      </c>
      <c r="C259" t="s">
        <v>134</v>
      </c>
      <c r="D259" t="s">
        <v>0</v>
      </c>
      <c r="E259" t="s">
        <v>94</v>
      </c>
      <c r="F259" t="s">
        <v>135</v>
      </c>
      <c r="G259">
        <v>1</v>
      </c>
      <c r="H259">
        <v>12</v>
      </c>
      <c r="I259">
        <v>48000</v>
      </c>
      <c r="J259">
        <v>0</v>
      </c>
      <c r="K259" t="s">
        <v>339</v>
      </c>
      <c r="L259">
        <v>50</v>
      </c>
      <c r="M259">
        <v>15</v>
      </c>
      <c r="N259">
        <v>3200</v>
      </c>
      <c r="O259">
        <v>50.2</v>
      </c>
      <c r="P259">
        <v>15</v>
      </c>
      <c r="Q259">
        <v>3200</v>
      </c>
      <c r="R259" t="s">
        <v>121</v>
      </c>
      <c r="S259" s="40">
        <v>46079</v>
      </c>
      <c r="T259">
        <v>37.557372000000001</v>
      </c>
      <c r="U259">
        <v>126.916798</v>
      </c>
      <c r="V259" t="s">
        <v>493</v>
      </c>
      <c r="W259" t="s">
        <v>494</v>
      </c>
      <c r="X259">
        <v>1</v>
      </c>
      <c r="Y259">
        <v>0</v>
      </c>
      <c r="Z259">
        <v>0</v>
      </c>
      <c r="AA259" t="s">
        <v>139</v>
      </c>
      <c r="AB259" t="s">
        <v>492</v>
      </c>
      <c r="AC259">
        <v>48000</v>
      </c>
      <c r="AD259">
        <v>0</v>
      </c>
      <c r="AE259" t="s">
        <v>101</v>
      </c>
      <c r="AF259" t="s">
        <v>102</v>
      </c>
      <c r="AG259" t="s">
        <v>103</v>
      </c>
      <c r="AH259">
        <v>767.06448863561582</v>
      </c>
      <c r="AI259" t="s">
        <v>47</v>
      </c>
      <c r="AJ259" t="s">
        <v>104</v>
      </c>
      <c r="AK259">
        <v>797.1523313902012</v>
      </c>
      <c r="AL259" t="s">
        <v>105</v>
      </c>
      <c r="AM259" s="41" t="s">
        <v>472</v>
      </c>
    </row>
    <row r="260" spans="1:56" hidden="1">
      <c r="A260">
        <v>2607307730</v>
      </c>
      <c r="B260">
        <v>1144012000</v>
      </c>
      <c r="C260" t="s">
        <v>93</v>
      </c>
      <c r="D260" t="s">
        <v>0</v>
      </c>
      <c r="E260" t="s">
        <v>94</v>
      </c>
      <c r="F260" t="s">
        <v>108</v>
      </c>
      <c r="G260">
        <v>1</v>
      </c>
      <c r="H260">
        <v>12</v>
      </c>
      <c r="I260">
        <v>48000</v>
      </c>
      <c r="J260">
        <v>0</v>
      </c>
      <c r="K260" t="s">
        <v>339</v>
      </c>
      <c r="L260">
        <v>81</v>
      </c>
      <c r="M260">
        <v>24</v>
      </c>
      <c r="N260">
        <v>2000</v>
      </c>
      <c r="O260">
        <v>50.2</v>
      </c>
      <c r="P260">
        <v>15</v>
      </c>
      <c r="Q260">
        <v>3200</v>
      </c>
      <c r="R260" t="s">
        <v>110</v>
      </c>
      <c r="S260" s="40">
        <v>46059</v>
      </c>
      <c r="T260">
        <v>37.557372999999998</v>
      </c>
      <c r="U260">
        <v>126.916798</v>
      </c>
      <c r="V260" t="s">
        <v>495</v>
      </c>
      <c r="W260" t="s">
        <v>489</v>
      </c>
      <c r="X260">
        <v>1</v>
      </c>
      <c r="Y260">
        <v>0</v>
      </c>
      <c r="Z260">
        <v>0</v>
      </c>
      <c r="AA260" t="s">
        <v>328</v>
      </c>
      <c r="AB260" t="s">
        <v>329</v>
      </c>
      <c r="AC260">
        <v>48000</v>
      </c>
      <c r="AD260">
        <v>0</v>
      </c>
      <c r="AE260" t="s">
        <v>101</v>
      </c>
      <c r="AF260" t="s">
        <v>102</v>
      </c>
      <c r="AG260" t="s">
        <v>103</v>
      </c>
      <c r="AH260">
        <v>767.08573569644557</v>
      </c>
      <c r="AI260" t="s">
        <v>47</v>
      </c>
      <c r="AJ260" t="s">
        <v>104</v>
      </c>
      <c r="AK260">
        <v>797.26044038606585</v>
      </c>
      <c r="AL260" t="s">
        <v>105</v>
      </c>
      <c r="AM260" s="41" t="s">
        <v>472</v>
      </c>
    </row>
    <row r="261" spans="1:56" hidden="1">
      <c r="A261">
        <v>2607091330</v>
      </c>
      <c r="B261">
        <v>1144012000</v>
      </c>
      <c r="C261" t="s">
        <v>134</v>
      </c>
      <c r="D261" t="s">
        <v>0</v>
      </c>
      <c r="E261" t="s">
        <v>94</v>
      </c>
      <c r="F261" t="s">
        <v>108</v>
      </c>
      <c r="G261">
        <v>1</v>
      </c>
      <c r="H261">
        <v>12</v>
      </c>
      <c r="I261">
        <v>48000</v>
      </c>
      <c r="J261">
        <v>0</v>
      </c>
      <c r="K261" t="s">
        <v>339</v>
      </c>
      <c r="L261">
        <v>81</v>
      </c>
      <c r="M261">
        <v>24</v>
      </c>
      <c r="N261">
        <v>2000</v>
      </c>
      <c r="O261">
        <v>50.2</v>
      </c>
      <c r="P261">
        <v>15</v>
      </c>
      <c r="Q261">
        <v>3200</v>
      </c>
      <c r="R261" t="s">
        <v>110</v>
      </c>
      <c r="S261" s="40">
        <v>46058</v>
      </c>
      <c r="T261">
        <v>37.557372999999998</v>
      </c>
      <c r="U261">
        <v>126.916798</v>
      </c>
      <c r="V261" t="s">
        <v>496</v>
      </c>
      <c r="W261" t="s">
        <v>497</v>
      </c>
      <c r="X261">
        <v>1</v>
      </c>
      <c r="Y261">
        <v>0</v>
      </c>
      <c r="Z261">
        <v>0</v>
      </c>
      <c r="AA261" t="s">
        <v>113</v>
      </c>
      <c r="AB261" t="s">
        <v>498</v>
      </c>
      <c r="AC261">
        <v>48000</v>
      </c>
      <c r="AD261">
        <v>0</v>
      </c>
      <c r="AE261" t="s">
        <v>101</v>
      </c>
      <c r="AF261" t="s">
        <v>102</v>
      </c>
      <c r="AG261" t="s">
        <v>103</v>
      </c>
      <c r="AH261">
        <v>767.08573569644557</v>
      </c>
      <c r="AI261" t="s">
        <v>47</v>
      </c>
      <c r="AJ261" t="s">
        <v>104</v>
      </c>
      <c r="AK261">
        <v>797.26044038606585</v>
      </c>
      <c r="AL261" t="s">
        <v>105</v>
      </c>
      <c r="AM261" s="41" t="s">
        <v>472</v>
      </c>
    </row>
    <row r="262" spans="1:56" hidden="1">
      <c r="A262">
        <v>2607931041</v>
      </c>
      <c r="B262">
        <v>1144012100</v>
      </c>
      <c r="C262" t="s">
        <v>134</v>
      </c>
      <c r="D262" t="s">
        <v>0</v>
      </c>
      <c r="E262" t="s">
        <v>94</v>
      </c>
      <c r="F262" t="s">
        <v>95</v>
      </c>
      <c r="G262" t="s">
        <v>35</v>
      </c>
      <c r="H262">
        <v>18</v>
      </c>
      <c r="I262">
        <v>23000</v>
      </c>
      <c r="J262">
        <v>0</v>
      </c>
      <c r="K262" t="s">
        <v>235</v>
      </c>
      <c r="L262">
        <v>55</v>
      </c>
      <c r="M262">
        <v>16</v>
      </c>
      <c r="N262">
        <v>1437</v>
      </c>
      <c r="O262">
        <v>24.57</v>
      </c>
      <c r="P262">
        <v>7</v>
      </c>
      <c r="Q262">
        <v>3286</v>
      </c>
      <c r="R262" t="s">
        <v>136</v>
      </c>
      <c r="S262" s="40">
        <v>46063</v>
      </c>
      <c r="T262">
        <v>37.556083999999998</v>
      </c>
      <c r="U262">
        <v>126.923455</v>
      </c>
      <c r="V262" t="s">
        <v>506</v>
      </c>
      <c r="W262" t="s">
        <v>431</v>
      </c>
      <c r="X262">
        <v>1</v>
      </c>
      <c r="Y262">
        <v>0</v>
      </c>
      <c r="Z262">
        <v>0</v>
      </c>
      <c r="AA262" t="s">
        <v>113</v>
      </c>
      <c r="AB262" t="s">
        <v>432</v>
      </c>
      <c r="AC262">
        <v>23000</v>
      </c>
      <c r="AD262">
        <v>0</v>
      </c>
      <c r="AE262" t="s">
        <v>101</v>
      </c>
      <c r="AF262" t="s">
        <v>165</v>
      </c>
      <c r="AG262" t="s">
        <v>166</v>
      </c>
      <c r="AH262">
        <v>93.029525670005455</v>
      </c>
      <c r="AI262" t="s">
        <v>47</v>
      </c>
      <c r="AJ262" t="s">
        <v>104</v>
      </c>
      <c r="AK262">
        <v>837.53034349574909</v>
      </c>
      <c r="AL262" t="s">
        <v>105</v>
      </c>
      <c r="AM262" s="41" t="s">
        <v>426</v>
      </c>
    </row>
    <row r="263" spans="1:56" hidden="1">
      <c r="A263">
        <v>2606250862</v>
      </c>
      <c r="B263">
        <v>1144012500</v>
      </c>
      <c r="C263" t="s">
        <v>93</v>
      </c>
      <c r="D263" t="s">
        <v>0</v>
      </c>
      <c r="E263" t="s">
        <v>94</v>
      </c>
      <c r="F263" t="s">
        <v>119</v>
      </c>
      <c r="G263">
        <v>1</v>
      </c>
      <c r="H263">
        <v>5</v>
      </c>
      <c r="I263">
        <v>50000</v>
      </c>
      <c r="J263">
        <v>0</v>
      </c>
      <c r="K263" t="s">
        <v>168</v>
      </c>
      <c r="L263">
        <v>52</v>
      </c>
      <c r="M263">
        <v>15</v>
      </c>
      <c r="N263">
        <v>3333</v>
      </c>
      <c r="O263">
        <v>49.59</v>
      </c>
      <c r="P263">
        <v>15</v>
      </c>
      <c r="Q263">
        <v>3333</v>
      </c>
      <c r="R263" t="s">
        <v>161</v>
      </c>
      <c r="S263" s="40">
        <v>46055</v>
      </c>
      <c r="T263">
        <v>37.563051999999999</v>
      </c>
      <c r="U263">
        <v>126.916802</v>
      </c>
      <c r="V263" t="s">
        <v>655</v>
      </c>
      <c r="W263" t="s">
        <v>656</v>
      </c>
      <c r="X263">
        <v>1</v>
      </c>
      <c r="Y263">
        <v>0</v>
      </c>
      <c r="Z263">
        <v>0</v>
      </c>
      <c r="AA263" t="s">
        <v>124</v>
      </c>
      <c r="AB263" t="s">
        <v>657</v>
      </c>
      <c r="AC263">
        <v>50000</v>
      </c>
      <c r="AD263">
        <v>0</v>
      </c>
      <c r="AE263" t="s">
        <v>101</v>
      </c>
      <c r="AF263" t="s">
        <v>653</v>
      </c>
      <c r="AG263" t="s">
        <v>476</v>
      </c>
      <c r="AH263">
        <v>670.3105796545093</v>
      </c>
      <c r="AI263" t="s">
        <v>47</v>
      </c>
      <c r="AJ263" t="s">
        <v>104</v>
      </c>
      <c r="AK263">
        <v>1419.1802710703455</v>
      </c>
      <c r="AL263" t="s">
        <v>105</v>
      </c>
      <c r="AM263" s="41" t="s">
        <v>658</v>
      </c>
    </row>
    <row r="264" spans="1:56">
      <c r="A264">
        <v>2611173920</v>
      </c>
      <c r="B264">
        <v>1144012000</v>
      </c>
      <c r="C264" t="s">
        <v>93</v>
      </c>
      <c r="D264" t="s">
        <v>0</v>
      </c>
      <c r="E264" t="s">
        <v>94</v>
      </c>
      <c r="F264" t="s">
        <v>135</v>
      </c>
      <c r="G264">
        <v>2</v>
      </c>
      <c r="H264">
        <v>10</v>
      </c>
      <c r="I264">
        <v>130000</v>
      </c>
      <c r="J264">
        <v>0</v>
      </c>
      <c r="K264" t="s">
        <v>309</v>
      </c>
      <c r="L264">
        <v>120</v>
      </c>
      <c r="M264">
        <v>36</v>
      </c>
      <c r="N264">
        <v>3611</v>
      </c>
      <c r="O264">
        <v>74.5</v>
      </c>
      <c r="P264">
        <v>22</v>
      </c>
      <c r="Q264">
        <v>5909</v>
      </c>
      <c r="R264" t="s">
        <v>110</v>
      </c>
      <c r="S264" s="40">
        <v>46084</v>
      </c>
      <c r="T264">
        <v>37.552424000000002</v>
      </c>
      <c r="U264">
        <v>126.91909699999999</v>
      </c>
      <c r="V264" t="s">
        <v>310</v>
      </c>
      <c r="W264" t="s">
        <v>311</v>
      </c>
      <c r="X264">
        <v>1</v>
      </c>
      <c r="Y264">
        <v>0</v>
      </c>
      <c r="Z264">
        <v>0</v>
      </c>
      <c r="AA264" t="s">
        <v>312</v>
      </c>
      <c r="AB264" t="s">
        <v>313</v>
      </c>
      <c r="AC264">
        <v>130000</v>
      </c>
      <c r="AD264">
        <v>0</v>
      </c>
      <c r="AE264" t="s">
        <v>101</v>
      </c>
      <c r="AF264" t="s">
        <v>115</v>
      </c>
      <c r="AG264" t="s">
        <v>116</v>
      </c>
      <c r="AH264">
        <v>558.94798415544108</v>
      </c>
      <c r="AI264" t="s">
        <v>47</v>
      </c>
      <c r="AJ264" t="s">
        <v>104</v>
      </c>
      <c r="AK264">
        <v>232.85385106390223</v>
      </c>
      <c r="AL264">
        <v>1</v>
      </c>
      <c r="AM264" s="41" t="s">
        <v>268</v>
      </c>
      <c r="AN264">
        <f>IFERROR(VALUE(LEFT($W264,FIND("년",$W264)-1)),"")</f>
        <v>4</v>
      </c>
      <c r="AO264" t="str">
        <f>IFERROR(IF(FIND("년",$W264)=3,MID($W264,FIND("년",$W264)+1,FIND("년",$W264)-1),MID($W264,FIND("년",$W264)+1,FIND("년",$W264))),"")</f>
        <v>이내</v>
      </c>
      <c r="AP264">
        <f>IFERROR(IF($AN264&lt;11,10,IF(AND($AN264&lt;26,$AO264="이내"),25,26)),"")</f>
        <v>10</v>
      </c>
      <c r="AQ264">
        <f>IFERROR(IF($P264&lt;10,9,IF($P264&lt;20,10,IF($P264&lt;30,20,IF($P264&lt;40,30,40)))),"")</f>
        <v>20</v>
      </c>
      <c r="AR264" t="str">
        <f>IFERROR(IF($D264="상가",IF($G264="1","1층",IF($G264="전체층","전체층",IF(LEFT($G264,1)="B","B1",IF($G264&lt;6,"저",IF($G264/$H264&lt;=$BC$9,"저",IF($G264/$H264&lt;=$BC$10,"중","고")))))),IF(LEFT($G264,1)="B","B1",IF($H264&lt;6,"저",IF($G264/$H264&lt;=$BC$2,"저",IF($G264/$H264&lt;=$BC$3,"중","고"))))),"")</f>
        <v>저</v>
      </c>
      <c r="AS264">
        <f>IFERROR(ACOS(SIN(RADIANS(거래사례!$S$11))*SIN(RADIANS($T264))+COS(RADIANS(거래사례!$S$11))*COS(RADIANS($T264))*COS(RADIANS($U264-거래사례!$P$11)))*6371000,"")</f>
        <v>1208.6579868311039</v>
      </c>
    </row>
    <row r="265" spans="1:56" hidden="1">
      <c r="A265">
        <v>2609348758</v>
      </c>
      <c r="B265">
        <v>1144012400</v>
      </c>
      <c r="C265" t="s">
        <v>93</v>
      </c>
      <c r="D265" t="s">
        <v>0</v>
      </c>
      <c r="E265" t="s">
        <v>94</v>
      </c>
      <c r="F265" t="s">
        <v>95</v>
      </c>
      <c r="G265">
        <v>1</v>
      </c>
      <c r="H265">
        <v>4</v>
      </c>
      <c r="I265">
        <v>25000</v>
      </c>
      <c r="J265">
        <v>0</v>
      </c>
      <c r="K265" t="s">
        <v>468</v>
      </c>
      <c r="L265">
        <v>26</v>
      </c>
      <c r="M265">
        <v>7</v>
      </c>
      <c r="N265">
        <v>3571</v>
      </c>
      <c r="O265">
        <v>26.15</v>
      </c>
      <c r="P265">
        <v>7</v>
      </c>
      <c r="Q265">
        <v>3571</v>
      </c>
      <c r="R265" t="s">
        <v>208</v>
      </c>
      <c r="S265" s="40">
        <v>46072</v>
      </c>
      <c r="T265">
        <v>37.565379999999998</v>
      </c>
      <c r="U265">
        <v>126.91803899999999</v>
      </c>
      <c r="V265" t="s">
        <v>664</v>
      </c>
      <c r="W265" t="s">
        <v>665</v>
      </c>
      <c r="X265">
        <v>1</v>
      </c>
      <c r="Y265">
        <v>0</v>
      </c>
      <c r="Z265">
        <v>0</v>
      </c>
      <c r="AA265" t="s">
        <v>139</v>
      </c>
      <c r="AB265" t="s">
        <v>666</v>
      </c>
      <c r="AC265">
        <v>25000</v>
      </c>
      <c r="AD265">
        <v>0</v>
      </c>
      <c r="AE265" t="s">
        <v>101</v>
      </c>
      <c r="AF265" t="s">
        <v>653</v>
      </c>
      <c r="AG265" t="s">
        <v>476</v>
      </c>
      <c r="AH265">
        <v>502.56851177297557</v>
      </c>
      <c r="AI265" t="s">
        <v>47</v>
      </c>
      <c r="AJ265" t="s">
        <v>104</v>
      </c>
      <c r="AK265">
        <v>1515.3475402802865</v>
      </c>
      <c r="AL265" t="s">
        <v>105</v>
      </c>
      <c r="AM265" s="41" t="s">
        <v>667</v>
      </c>
    </row>
    <row r="266" spans="1:56">
      <c r="A266">
        <v>2611397395</v>
      </c>
      <c r="B266">
        <v>1144012000</v>
      </c>
      <c r="C266" t="s">
        <v>211</v>
      </c>
      <c r="D266" t="s">
        <v>0</v>
      </c>
      <c r="E266" t="s">
        <v>94</v>
      </c>
      <c r="F266" t="s">
        <v>95</v>
      </c>
      <c r="G266">
        <v>2</v>
      </c>
      <c r="H266">
        <v>10</v>
      </c>
      <c r="I266">
        <v>130000</v>
      </c>
      <c r="J266">
        <v>0</v>
      </c>
      <c r="K266" t="s">
        <v>309</v>
      </c>
      <c r="L266">
        <v>120</v>
      </c>
      <c r="M266">
        <v>36</v>
      </c>
      <c r="N266">
        <v>3611</v>
      </c>
      <c r="O266">
        <v>74.5</v>
      </c>
      <c r="P266">
        <v>22</v>
      </c>
      <c r="Q266">
        <v>5909</v>
      </c>
      <c r="R266" t="s">
        <v>208</v>
      </c>
      <c r="S266" s="40">
        <v>46084</v>
      </c>
      <c r="T266">
        <v>37.552424000000002</v>
      </c>
      <c r="U266">
        <v>126.91909699999999</v>
      </c>
      <c r="V266" t="s">
        <v>265</v>
      </c>
      <c r="W266" t="s">
        <v>266</v>
      </c>
      <c r="X266">
        <v>1</v>
      </c>
      <c r="Y266">
        <v>0</v>
      </c>
      <c r="Z266">
        <v>0</v>
      </c>
      <c r="AA266" t="s">
        <v>99</v>
      </c>
      <c r="AB266" t="s">
        <v>267</v>
      </c>
      <c r="AC266">
        <v>130000</v>
      </c>
      <c r="AD266">
        <v>0</v>
      </c>
      <c r="AE266" t="s">
        <v>101</v>
      </c>
      <c r="AF266" t="s">
        <v>115</v>
      </c>
      <c r="AG266" t="s">
        <v>116</v>
      </c>
      <c r="AH266">
        <v>558.94798415544108</v>
      </c>
      <c r="AI266" t="s">
        <v>47</v>
      </c>
      <c r="AJ266" t="s">
        <v>104</v>
      </c>
      <c r="AK266">
        <v>232.85385106390223</v>
      </c>
      <c r="AL266">
        <v>1</v>
      </c>
      <c r="AM266" s="41" t="s">
        <v>268</v>
      </c>
      <c r="AN266">
        <f t="shared" ref="AN266:AN271" si="125">IFERROR(VALUE(LEFT($W266,FIND("년",$W266)-1)),"")</f>
        <v>4</v>
      </c>
      <c r="AO266" t="str">
        <f t="shared" ref="AO266:AO271" si="126">IFERROR(IF(FIND("년",$W266)=3,MID($W266,FIND("년",$W266)+1,FIND("년",$W266)-1),MID($W266,FIND("년",$W266)+1,FIND("년",$W266))),"")</f>
        <v>이내</v>
      </c>
      <c r="AP266">
        <f t="shared" ref="AP266:AP271" si="127">IFERROR(IF($AN266&lt;11,10,IF(AND($AN266&lt;26,$AO266="이내"),25,26)),"")</f>
        <v>10</v>
      </c>
      <c r="AQ266">
        <f t="shared" ref="AQ266:AQ271" si="128">IFERROR(IF($P266&lt;10,9,IF($P266&lt;20,10,IF($P266&lt;30,20,IF($P266&lt;40,30,40)))),"")</f>
        <v>20</v>
      </c>
      <c r="AR266" t="str">
        <f t="shared" ref="AR266:AR271" si="129">IFERROR(IF($D266="상가",IF($G266="1","1층",IF($G266="전체층","전체층",IF(LEFT($G266,1)="B","B1",IF($G266&lt;6,"저",IF($G266/$H266&lt;=$BC$9,"저",IF($G266/$H266&lt;=$BC$10,"중","고")))))),IF(LEFT($G266,1)="B","B1",IF($H266&lt;6,"저",IF($G266/$H266&lt;=$BC$2,"저",IF($G266/$H266&lt;=$BC$3,"중","고"))))),"")</f>
        <v>저</v>
      </c>
      <c r="AS266">
        <f>IFERROR(ACOS(SIN(RADIANS(거래사례!$S$11))*SIN(RADIANS($T266))+COS(RADIANS(거래사례!$S$11))*COS(RADIANS($T266))*COS(RADIANS($U266-거래사례!$P$11)))*6371000,"")</f>
        <v>1208.6579868311039</v>
      </c>
    </row>
    <row r="267" spans="1:56">
      <c r="A267">
        <v>2611173920</v>
      </c>
      <c r="B267">
        <v>1144012000</v>
      </c>
      <c r="C267" t="s">
        <v>93</v>
      </c>
      <c r="D267" t="s">
        <v>0</v>
      </c>
      <c r="E267" t="s">
        <v>94</v>
      </c>
      <c r="F267" t="s">
        <v>135</v>
      </c>
      <c r="G267">
        <v>2</v>
      </c>
      <c r="H267">
        <v>10</v>
      </c>
      <c r="I267">
        <v>130000</v>
      </c>
      <c r="J267">
        <v>0</v>
      </c>
      <c r="K267" t="s">
        <v>309</v>
      </c>
      <c r="L267">
        <v>120</v>
      </c>
      <c r="M267">
        <v>36</v>
      </c>
      <c r="N267">
        <v>3611</v>
      </c>
      <c r="O267">
        <v>74.5</v>
      </c>
      <c r="P267">
        <v>22</v>
      </c>
      <c r="Q267">
        <v>5909</v>
      </c>
      <c r="R267" t="s">
        <v>110</v>
      </c>
      <c r="S267" s="40">
        <v>46084</v>
      </c>
      <c r="T267">
        <v>37.552424000000002</v>
      </c>
      <c r="U267">
        <v>126.91909699999999</v>
      </c>
      <c r="V267" t="s">
        <v>310</v>
      </c>
      <c r="W267" t="s">
        <v>311</v>
      </c>
      <c r="X267">
        <v>1</v>
      </c>
      <c r="Y267">
        <v>0</v>
      </c>
      <c r="Z267">
        <v>0</v>
      </c>
      <c r="AA267" t="s">
        <v>312</v>
      </c>
      <c r="AB267" t="s">
        <v>313</v>
      </c>
      <c r="AC267">
        <v>130000</v>
      </c>
      <c r="AD267">
        <v>0</v>
      </c>
      <c r="AE267" t="s">
        <v>101</v>
      </c>
      <c r="AF267" t="s">
        <v>115</v>
      </c>
      <c r="AG267" t="s">
        <v>116</v>
      </c>
      <c r="AH267">
        <v>558.94798415544108</v>
      </c>
      <c r="AI267" t="s">
        <v>47</v>
      </c>
      <c r="AJ267" t="s">
        <v>104</v>
      </c>
      <c r="AK267">
        <v>232.85385106390223</v>
      </c>
      <c r="AL267">
        <v>1</v>
      </c>
      <c r="AM267" s="41" t="s">
        <v>268</v>
      </c>
      <c r="AN267">
        <f t="shared" si="125"/>
        <v>4</v>
      </c>
      <c r="AO267" t="str">
        <f t="shared" si="126"/>
        <v>이내</v>
      </c>
      <c r="AP267">
        <f t="shared" si="127"/>
        <v>10</v>
      </c>
      <c r="AQ267">
        <f t="shared" si="128"/>
        <v>20</v>
      </c>
      <c r="AR267" t="str">
        <f t="shared" si="129"/>
        <v>저</v>
      </c>
      <c r="AS267">
        <f>IFERROR(ACOS(SIN(RADIANS(거래사례!$S$11))*SIN(RADIANS($T267))+COS(RADIANS(거래사례!$S$11))*COS(RADIANS($T267))*COS(RADIANS($U267-거래사례!$P$11)))*6371000,"")</f>
        <v>1208.6579868311039</v>
      </c>
    </row>
    <row r="268" spans="1:56">
      <c r="A268">
        <v>2611397395</v>
      </c>
      <c r="B268">
        <v>1144012000</v>
      </c>
      <c r="C268" t="s">
        <v>211</v>
      </c>
      <c r="D268" t="s">
        <v>0</v>
      </c>
      <c r="E268" t="s">
        <v>94</v>
      </c>
      <c r="F268" t="s">
        <v>95</v>
      </c>
      <c r="G268">
        <v>2</v>
      </c>
      <c r="H268">
        <v>10</v>
      </c>
      <c r="I268">
        <v>130000</v>
      </c>
      <c r="J268">
        <v>0</v>
      </c>
      <c r="K268" t="s">
        <v>309</v>
      </c>
      <c r="L268">
        <v>120</v>
      </c>
      <c r="M268">
        <v>36</v>
      </c>
      <c r="N268">
        <v>3611</v>
      </c>
      <c r="O268">
        <v>74.5</v>
      </c>
      <c r="P268">
        <v>22</v>
      </c>
      <c r="Q268">
        <v>5909</v>
      </c>
      <c r="R268" t="s">
        <v>208</v>
      </c>
      <c r="S268" s="40">
        <v>46084</v>
      </c>
      <c r="T268">
        <v>37.552424000000002</v>
      </c>
      <c r="U268">
        <v>126.91909699999999</v>
      </c>
      <c r="V268" t="s">
        <v>265</v>
      </c>
      <c r="W268" t="s">
        <v>266</v>
      </c>
      <c r="X268">
        <v>1</v>
      </c>
      <c r="Y268">
        <v>0</v>
      </c>
      <c r="Z268">
        <v>0</v>
      </c>
      <c r="AA268" t="s">
        <v>99</v>
      </c>
      <c r="AB268" t="s">
        <v>267</v>
      </c>
      <c r="AC268">
        <v>130000</v>
      </c>
      <c r="AD268">
        <v>0</v>
      </c>
      <c r="AE268" t="s">
        <v>101</v>
      </c>
      <c r="AF268" t="s">
        <v>115</v>
      </c>
      <c r="AG268" t="s">
        <v>116</v>
      </c>
      <c r="AH268">
        <v>558.94798415544108</v>
      </c>
      <c r="AI268" t="s">
        <v>47</v>
      </c>
      <c r="AJ268" t="s">
        <v>104</v>
      </c>
      <c r="AK268">
        <v>232.85385106390223</v>
      </c>
      <c r="AL268">
        <v>1</v>
      </c>
      <c r="AM268" s="41" t="s">
        <v>268</v>
      </c>
      <c r="AN268">
        <f t="shared" si="125"/>
        <v>4</v>
      </c>
      <c r="AO268" t="str">
        <f t="shared" si="126"/>
        <v>이내</v>
      </c>
      <c r="AP268">
        <f t="shared" si="127"/>
        <v>10</v>
      </c>
      <c r="AQ268">
        <f t="shared" si="128"/>
        <v>20</v>
      </c>
      <c r="AR268" t="str">
        <f t="shared" si="129"/>
        <v>저</v>
      </c>
      <c r="AS268">
        <f>IFERROR(ACOS(SIN(RADIANS(거래사례!$S$11))*SIN(RADIANS($T268))+COS(RADIANS(거래사례!$S$11))*COS(RADIANS($T268))*COS(RADIANS($U268-거래사례!$P$11)))*6371000,"")</f>
        <v>1208.6579868311039</v>
      </c>
    </row>
    <row r="269" spans="1:56">
      <c r="A269">
        <v>2611173920</v>
      </c>
      <c r="B269">
        <v>1144012000</v>
      </c>
      <c r="C269" t="s">
        <v>93</v>
      </c>
      <c r="D269" t="s">
        <v>0</v>
      </c>
      <c r="E269" t="s">
        <v>94</v>
      </c>
      <c r="F269" t="s">
        <v>135</v>
      </c>
      <c r="G269">
        <v>2</v>
      </c>
      <c r="H269">
        <v>10</v>
      </c>
      <c r="I269">
        <v>130000</v>
      </c>
      <c r="J269">
        <v>0</v>
      </c>
      <c r="K269" t="s">
        <v>309</v>
      </c>
      <c r="L269">
        <v>120</v>
      </c>
      <c r="M269">
        <v>36</v>
      </c>
      <c r="N269">
        <v>3611</v>
      </c>
      <c r="O269">
        <v>74.5</v>
      </c>
      <c r="P269">
        <v>22</v>
      </c>
      <c r="Q269">
        <v>5909</v>
      </c>
      <c r="R269" t="s">
        <v>110</v>
      </c>
      <c r="S269" s="40">
        <v>46084</v>
      </c>
      <c r="T269">
        <v>37.552424000000002</v>
      </c>
      <c r="U269">
        <v>126.91909699999999</v>
      </c>
      <c r="V269" t="s">
        <v>310</v>
      </c>
      <c r="W269" t="s">
        <v>311</v>
      </c>
      <c r="X269">
        <v>1</v>
      </c>
      <c r="Y269">
        <v>0</v>
      </c>
      <c r="Z269">
        <v>0</v>
      </c>
      <c r="AA269" t="s">
        <v>312</v>
      </c>
      <c r="AB269" t="s">
        <v>313</v>
      </c>
      <c r="AC269">
        <v>130000</v>
      </c>
      <c r="AD269">
        <v>0</v>
      </c>
      <c r="AE269" t="s">
        <v>101</v>
      </c>
      <c r="AF269" t="s">
        <v>115</v>
      </c>
      <c r="AG269" t="s">
        <v>116</v>
      </c>
      <c r="AH269">
        <v>558.94798415544108</v>
      </c>
      <c r="AI269" t="s">
        <v>47</v>
      </c>
      <c r="AJ269" t="s">
        <v>104</v>
      </c>
      <c r="AK269">
        <v>232.85385106390223</v>
      </c>
      <c r="AL269">
        <v>1</v>
      </c>
      <c r="AM269" s="41" t="s">
        <v>268</v>
      </c>
      <c r="AN269">
        <f t="shared" si="125"/>
        <v>4</v>
      </c>
      <c r="AO269" t="str">
        <f t="shared" si="126"/>
        <v>이내</v>
      </c>
      <c r="AP269">
        <f t="shared" si="127"/>
        <v>10</v>
      </c>
      <c r="AQ269">
        <f t="shared" si="128"/>
        <v>20</v>
      </c>
      <c r="AR269" t="str">
        <f t="shared" si="129"/>
        <v>저</v>
      </c>
      <c r="AS269">
        <f>IFERROR(ACOS(SIN(RADIANS(거래사례!$S$11))*SIN(RADIANS($T269))+COS(RADIANS(거래사례!$S$11))*COS(RADIANS($T269))*COS(RADIANS($U269-거래사례!$P$11)))*6371000,"")</f>
        <v>1208.6579868311039</v>
      </c>
    </row>
    <row r="270" spans="1:56">
      <c r="A270">
        <v>2611397395</v>
      </c>
      <c r="B270">
        <v>1144012000</v>
      </c>
      <c r="C270" t="s">
        <v>211</v>
      </c>
      <c r="D270" t="s">
        <v>0</v>
      </c>
      <c r="E270" t="s">
        <v>94</v>
      </c>
      <c r="F270" t="s">
        <v>95</v>
      </c>
      <c r="G270">
        <v>2</v>
      </c>
      <c r="H270">
        <v>10</v>
      </c>
      <c r="I270">
        <v>130000</v>
      </c>
      <c r="J270">
        <v>0</v>
      </c>
      <c r="K270" t="s">
        <v>309</v>
      </c>
      <c r="L270">
        <v>120</v>
      </c>
      <c r="M270">
        <v>36</v>
      </c>
      <c r="N270">
        <v>3611</v>
      </c>
      <c r="O270">
        <v>74.5</v>
      </c>
      <c r="P270">
        <v>22</v>
      </c>
      <c r="Q270">
        <v>5909</v>
      </c>
      <c r="R270" t="s">
        <v>208</v>
      </c>
      <c r="S270" s="40">
        <v>46084</v>
      </c>
      <c r="T270">
        <v>37.552424000000002</v>
      </c>
      <c r="U270">
        <v>126.91909699999999</v>
      </c>
      <c r="V270" t="s">
        <v>265</v>
      </c>
      <c r="W270" t="s">
        <v>266</v>
      </c>
      <c r="X270">
        <v>1</v>
      </c>
      <c r="Y270">
        <v>0</v>
      </c>
      <c r="Z270">
        <v>0</v>
      </c>
      <c r="AA270" t="s">
        <v>99</v>
      </c>
      <c r="AB270" t="s">
        <v>267</v>
      </c>
      <c r="AC270">
        <v>130000</v>
      </c>
      <c r="AD270">
        <v>0</v>
      </c>
      <c r="AE270" t="s">
        <v>101</v>
      </c>
      <c r="AF270" t="s">
        <v>115</v>
      </c>
      <c r="AG270" t="s">
        <v>116</v>
      </c>
      <c r="AH270">
        <v>558.94798415544108</v>
      </c>
      <c r="AI270" t="s">
        <v>47</v>
      </c>
      <c r="AJ270" t="s">
        <v>104</v>
      </c>
      <c r="AK270">
        <v>232.85385106390223</v>
      </c>
      <c r="AL270">
        <v>1</v>
      </c>
      <c r="AM270" s="41" t="s">
        <v>268</v>
      </c>
      <c r="AN270">
        <f t="shared" si="125"/>
        <v>4</v>
      </c>
      <c r="AO270" t="str">
        <f t="shared" si="126"/>
        <v>이내</v>
      </c>
      <c r="AP270">
        <f t="shared" si="127"/>
        <v>10</v>
      </c>
      <c r="AQ270">
        <f t="shared" si="128"/>
        <v>20</v>
      </c>
      <c r="AR270" t="str">
        <f t="shared" si="129"/>
        <v>저</v>
      </c>
      <c r="AS270">
        <f>IFERROR(ACOS(SIN(RADIANS(거래사례!$S$11))*SIN(RADIANS($T270))+COS(RADIANS(거래사례!$S$11))*COS(RADIANS($T270))*COS(RADIANS($U270-거래사례!$P$11)))*6371000,"")</f>
        <v>1208.6579868311039</v>
      </c>
    </row>
    <row r="271" spans="1:56">
      <c r="A271">
        <v>2611173920</v>
      </c>
      <c r="B271">
        <v>1144012000</v>
      </c>
      <c r="C271" t="s">
        <v>93</v>
      </c>
      <c r="D271" t="s">
        <v>0</v>
      </c>
      <c r="E271" t="s">
        <v>94</v>
      </c>
      <c r="F271" t="s">
        <v>135</v>
      </c>
      <c r="G271">
        <v>2</v>
      </c>
      <c r="H271">
        <v>10</v>
      </c>
      <c r="I271">
        <v>130000</v>
      </c>
      <c r="J271">
        <v>0</v>
      </c>
      <c r="K271" t="s">
        <v>309</v>
      </c>
      <c r="L271">
        <v>120</v>
      </c>
      <c r="M271">
        <v>36</v>
      </c>
      <c r="N271">
        <v>3611</v>
      </c>
      <c r="O271">
        <v>74.5</v>
      </c>
      <c r="P271">
        <v>22</v>
      </c>
      <c r="Q271">
        <v>5909</v>
      </c>
      <c r="R271" t="s">
        <v>110</v>
      </c>
      <c r="S271" s="40">
        <v>46084</v>
      </c>
      <c r="T271">
        <v>37.552424000000002</v>
      </c>
      <c r="U271">
        <v>126.91909699999999</v>
      </c>
      <c r="V271" t="s">
        <v>310</v>
      </c>
      <c r="W271" t="s">
        <v>311</v>
      </c>
      <c r="X271">
        <v>1</v>
      </c>
      <c r="Y271">
        <v>0</v>
      </c>
      <c r="Z271">
        <v>0</v>
      </c>
      <c r="AA271" t="s">
        <v>312</v>
      </c>
      <c r="AB271" t="s">
        <v>313</v>
      </c>
      <c r="AC271">
        <v>130000</v>
      </c>
      <c r="AD271">
        <v>0</v>
      </c>
      <c r="AE271" t="s">
        <v>101</v>
      </c>
      <c r="AF271" t="s">
        <v>115</v>
      </c>
      <c r="AG271" t="s">
        <v>116</v>
      </c>
      <c r="AH271">
        <v>558.94798415544108</v>
      </c>
      <c r="AI271" t="s">
        <v>47</v>
      </c>
      <c r="AJ271" t="s">
        <v>104</v>
      </c>
      <c r="AK271">
        <v>232.85385106390223</v>
      </c>
      <c r="AL271">
        <v>1</v>
      </c>
      <c r="AM271" s="41" t="s">
        <v>268</v>
      </c>
      <c r="AN271">
        <f t="shared" si="125"/>
        <v>4</v>
      </c>
      <c r="AO271" t="str">
        <f t="shared" si="126"/>
        <v>이내</v>
      </c>
      <c r="AP271">
        <f t="shared" si="127"/>
        <v>10</v>
      </c>
      <c r="AQ271">
        <f t="shared" si="128"/>
        <v>20</v>
      </c>
      <c r="AR271" t="str">
        <f t="shared" si="129"/>
        <v>저</v>
      </c>
      <c r="AS271">
        <f>IFERROR(ACOS(SIN(RADIANS(거래사례!$S$11))*SIN(RADIANS($T271))+COS(RADIANS(거래사례!$S$11))*COS(RADIANS($T271))*COS(RADIANS($U271-거래사례!$P$11)))*6371000,"")</f>
        <v>1208.6579868311039</v>
      </c>
    </row>
    <row r="272" spans="1:56" hidden="1">
      <c r="A272">
        <v>2606256665</v>
      </c>
      <c r="B272">
        <v>1144012400</v>
      </c>
      <c r="C272" t="s">
        <v>93</v>
      </c>
      <c r="D272" t="s">
        <v>0</v>
      </c>
      <c r="E272" t="s">
        <v>94</v>
      </c>
      <c r="F272" t="s">
        <v>95</v>
      </c>
      <c r="G272">
        <v>1</v>
      </c>
      <c r="H272">
        <v>5</v>
      </c>
      <c r="I272">
        <v>60000</v>
      </c>
      <c r="J272">
        <v>0</v>
      </c>
      <c r="K272" t="s">
        <v>345</v>
      </c>
      <c r="L272">
        <v>45</v>
      </c>
      <c r="M272">
        <v>13</v>
      </c>
      <c r="N272">
        <v>4615</v>
      </c>
      <c r="O272">
        <v>45.67</v>
      </c>
      <c r="P272">
        <v>13</v>
      </c>
      <c r="Q272">
        <v>4615</v>
      </c>
      <c r="R272" t="s">
        <v>161</v>
      </c>
      <c r="S272" s="40">
        <v>46055</v>
      </c>
      <c r="T272">
        <v>37.564385999999999</v>
      </c>
      <c r="U272">
        <v>126.918003</v>
      </c>
      <c r="V272" t="s">
        <v>676</v>
      </c>
      <c r="W272" t="s">
        <v>535</v>
      </c>
      <c r="X272">
        <v>1</v>
      </c>
      <c r="Y272">
        <v>0</v>
      </c>
      <c r="Z272">
        <v>0</v>
      </c>
      <c r="AA272" t="s">
        <v>139</v>
      </c>
      <c r="AB272" t="s">
        <v>677</v>
      </c>
      <c r="AC272">
        <v>60000</v>
      </c>
      <c r="AD272">
        <v>0</v>
      </c>
      <c r="AE272" t="s">
        <v>101</v>
      </c>
      <c r="AF272" t="s">
        <v>653</v>
      </c>
      <c r="AG272" t="s">
        <v>476</v>
      </c>
      <c r="AH272">
        <v>589.45545882517672</v>
      </c>
      <c r="AI272" t="s">
        <v>47</v>
      </c>
      <c r="AJ272" t="s">
        <v>104</v>
      </c>
      <c r="AK272">
        <v>1547.2658256799509</v>
      </c>
      <c r="AL272" t="s">
        <v>105</v>
      </c>
      <c r="AM272" s="41" t="s">
        <v>678</v>
      </c>
    </row>
    <row r="273" spans="1:56" hidden="1">
      <c r="A273">
        <v>2610688524</v>
      </c>
      <c r="B273">
        <v>1144012000</v>
      </c>
      <c r="C273" t="s">
        <v>134</v>
      </c>
      <c r="D273" t="s">
        <v>0</v>
      </c>
      <c r="E273" t="s">
        <v>94</v>
      </c>
      <c r="F273" t="s">
        <v>135</v>
      </c>
      <c r="G273">
        <v>1</v>
      </c>
      <c r="H273">
        <v>12</v>
      </c>
      <c r="I273">
        <v>40000</v>
      </c>
      <c r="J273">
        <v>0</v>
      </c>
      <c r="K273" t="s">
        <v>444</v>
      </c>
      <c r="L273">
        <v>27</v>
      </c>
      <c r="M273">
        <v>8</v>
      </c>
      <c r="N273">
        <v>5000</v>
      </c>
      <c r="O273">
        <v>27.13</v>
      </c>
      <c r="P273">
        <v>8</v>
      </c>
      <c r="Q273">
        <v>5000</v>
      </c>
      <c r="R273" t="s">
        <v>96</v>
      </c>
      <c r="S273" s="40">
        <v>46078</v>
      </c>
      <c r="T273">
        <v>37.557372000000001</v>
      </c>
      <c r="U273">
        <v>126.916798</v>
      </c>
      <c r="V273" t="s">
        <v>547</v>
      </c>
      <c r="W273" t="s">
        <v>548</v>
      </c>
      <c r="X273">
        <v>1</v>
      </c>
      <c r="Y273">
        <v>0</v>
      </c>
      <c r="Z273">
        <v>0</v>
      </c>
      <c r="AA273" t="s">
        <v>139</v>
      </c>
      <c r="AB273" t="s">
        <v>492</v>
      </c>
      <c r="AC273">
        <v>40000</v>
      </c>
      <c r="AD273">
        <v>0</v>
      </c>
      <c r="AE273" t="s">
        <v>101</v>
      </c>
      <c r="AF273" t="s">
        <v>102</v>
      </c>
      <c r="AG273" t="s">
        <v>103</v>
      </c>
      <c r="AH273">
        <v>767.06448863561582</v>
      </c>
      <c r="AI273" t="s">
        <v>47</v>
      </c>
      <c r="AJ273" t="s">
        <v>104</v>
      </c>
      <c r="AK273">
        <v>797.1523313902012</v>
      </c>
      <c r="AL273" t="s">
        <v>105</v>
      </c>
      <c r="AM273" s="41" t="s">
        <v>472</v>
      </c>
    </row>
    <row r="274" spans="1:56">
      <c r="A274">
        <v>2611397395</v>
      </c>
      <c r="B274">
        <v>1144012000</v>
      </c>
      <c r="C274" t="s">
        <v>211</v>
      </c>
      <c r="D274" t="s">
        <v>0</v>
      </c>
      <c r="E274" t="s">
        <v>94</v>
      </c>
      <c r="F274" t="s">
        <v>95</v>
      </c>
      <c r="G274">
        <v>2</v>
      </c>
      <c r="H274">
        <v>10</v>
      </c>
      <c r="I274">
        <v>130000</v>
      </c>
      <c r="J274">
        <v>0</v>
      </c>
      <c r="K274" t="s">
        <v>309</v>
      </c>
      <c r="L274">
        <v>120</v>
      </c>
      <c r="M274">
        <v>36</v>
      </c>
      <c r="N274">
        <v>3611</v>
      </c>
      <c r="O274">
        <v>74.5</v>
      </c>
      <c r="P274">
        <v>22</v>
      </c>
      <c r="Q274">
        <v>5909</v>
      </c>
      <c r="R274" t="s">
        <v>208</v>
      </c>
      <c r="S274" s="40">
        <v>46084</v>
      </c>
      <c r="T274">
        <v>37.552424000000002</v>
      </c>
      <c r="U274">
        <v>126.91909699999999</v>
      </c>
      <c r="V274" t="s">
        <v>265</v>
      </c>
      <c r="W274" t="s">
        <v>266</v>
      </c>
      <c r="X274">
        <v>1</v>
      </c>
      <c r="Y274">
        <v>0</v>
      </c>
      <c r="Z274">
        <v>0</v>
      </c>
      <c r="AA274" t="s">
        <v>99</v>
      </c>
      <c r="AB274" t="s">
        <v>267</v>
      </c>
      <c r="AC274">
        <v>130000</v>
      </c>
      <c r="AD274">
        <v>0</v>
      </c>
      <c r="AE274" t="s">
        <v>101</v>
      </c>
      <c r="AF274" t="s">
        <v>115</v>
      </c>
      <c r="AG274" t="s">
        <v>116</v>
      </c>
      <c r="AH274">
        <v>558.94798415544108</v>
      </c>
      <c r="AI274" t="s">
        <v>47</v>
      </c>
      <c r="AJ274" t="s">
        <v>104</v>
      </c>
      <c r="AK274">
        <v>232.85385106390223</v>
      </c>
      <c r="AL274">
        <v>1</v>
      </c>
      <c r="AM274" s="41" t="s">
        <v>268</v>
      </c>
      <c r="AN274">
        <f>IFERROR(VALUE(LEFT($W274,FIND("년",$W274)-1)),"")</f>
        <v>4</v>
      </c>
      <c r="AO274" t="str">
        <f>IFERROR(IF(FIND("년",$W274)=3,MID($W274,FIND("년",$W274)+1,FIND("년",$W274)-1),MID($W274,FIND("년",$W274)+1,FIND("년",$W274))),"")</f>
        <v>이내</v>
      </c>
      <c r="AP274">
        <f>IFERROR(IF($AN274&lt;11,10,IF(AND($AN274&lt;26,$AO274="이내"),25,26)),"")</f>
        <v>10</v>
      </c>
      <c r="AQ274">
        <f>IFERROR(IF($P274&lt;10,9,IF($P274&lt;20,10,IF($P274&lt;30,20,IF($P274&lt;40,30,40)))),"")</f>
        <v>20</v>
      </c>
      <c r="AR274" t="str">
        <f>IFERROR(IF($D274="상가",IF($G274="1","1층",IF($G274="전체층","전체층",IF(LEFT($G274,1)="B","B1",IF($G274&lt;6,"저",IF($G274/$H274&lt;=$BC$9,"저",IF($G274/$H274&lt;=$BC$10,"중","고")))))),IF(LEFT($G274,1)="B","B1",IF($H274&lt;6,"저",IF($G274/$H274&lt;=$BC$2,"저",IF($G274/$H274&lt;=$BC$3,"중","고"))))),"")</f>
        <v>저</v>
      </c>
      <c r="AS274">
        <f>IFERROR(ACOS(SIN(RADIANS(거래사례!$S$11))*SIN(RADIANS($T274))+COS(RADIANS(거래사례!$S$11))*COS(RADIANS($T274))*COS(RADIANS($U274-거래사례!$P$11)))*6371000,"")</f>
        <v>1208.6579868311039</v>
      </c>
    </row>
    <row r="275" spans="1:56" hidden="1">
      <c r="A275">
        <v>2606922832</v>
      </c>
      <c r="B275">
        <v>1144012400</v>
      </c>
      <c r="C275" t="s">
        <v>93</v>
      </c>
      <c r="D275" t="s">
        <v>0</v>
      </c>
      <c r="E275" t="s">
        <v>94</v>
      </c>
      <c r="F275" t="s">
        <v>95</v>
      </c>
      <c r="G275">
        <v>1</v>
      </c>
      <c r="H275">
        <v>5</v>
      </c>
      <c r="I275">
        <v>50000</v>
      </c>
      <c r="J275">
        <v>0</v>
      </c>
      <c r="K275" t="s">
        <v>168</v>
      </c>
      <c r="L275">
        <v>28</v>
      </c>
      <c r="M275">
        <v>8</v>
      </c>
      <c r="N275">
        <v>6250</v>
      </c>
      <c r="O275">
        <v>28.5</v>
      </c>
      <c r="P275">
        <v>8</v>
      </c>
      <c r="Q275">
        <v>6250</v>
      </c>
      <c r="R275" t="s">
        <v>121</v>
      </c>
      <c r="S275" s="40">
        <v>46057</v>
      </c>
      <c r="T275">
        <v>37.55932</v>
      </c>
      <c r="U275">
        <v>126.918761</v>
      </c>
      <c r="V275" t="s">
        <v>568</v>
      </c>
      <c r="W275" t="s">
        <v>569</v>
      </c>
      <c r="X275">
        <v>1</v>
      </c>
      <c r="Y275">
        <v>0</v>
      </c>
      <c r="Z275">
        <v>0</v>
      </c>
      <c r="AA275" t="s">
        <v>113</v>
      </c>
      <c r="AB275" t="s">
        <v>570</v>
      </c>
      <c r="AC275">
        <v>50000</v>
      </c>
      <c r="AD275">
        <v>0</v>
      </c>
      <c r="AE275" t="s">
        <v>101</v>
      </c>
      <c r="AF275" t="s">
        <v>165</v>
      </c>
      <c r="AG275" t="s">
        <v>166</v>
      </c>
      <c r="AH275">
        <v>610.16387193891501</v>
      </c>
      <c r="AI275" t="s">
        <v>47</v>
      </c>
      <c r="AJ275" t="s">
        <v>104</v>
      </c>
      <c r="AK275">
        <v>991.41743314599921</v>
      </c>
      <c r="AL275" t="s">
        <v>105</v>
      </c>
      <c r="AM275" s="41" t="s">
        <v>571</v>
      </c>
    </row>
    <row r="276" spans="1:56" hidden="1">
      <c r="A276">
        <v>2610757625</v>
      </c>
      <c r="B276">
        <v>1144012100</v>
      </c>
      <c r="C276" t="s">
        <v>134</v>
      </c>
      <c r="D276" t="s">
        <v>0</v>
      </c>
      <c r="E276" t="s">
        <v>94</v>
      </c>
      <c r="F276" t="s">
        <v>119</v>
      </c>
      <c r="G276">
        <v>2</v>
      </c>
      <c r="H276">
        <v>15</v>
      </c>
      <c r="I276">
        <v>70000</v>
      </c>
      <c r="J276">
        <v>0</v>
      </c>
      <c r="K276" t="s">
        <v>225</v>
      </c>
      <c r="L276">
        <v>76</v>
      </c>
      <c r="M276">
        <v>22</v>
      </c>
      <c r="N276">
        <v>3181</v>
      </c>
      <c r="O276">
        <v>37.72</v>
      </c>
      <c r="P276">
        <v>11</v>
      </c>
      <c r="Q276">
        <v>6364</v>
      </c>
      <c r="R276" t="s">
        <v>121</v>
      </c>
      <c r="S276" s="40">
        <v>46079</v>
      </c>
      <c r="T276">
        <v>37.558401000000003</v>
      </c>
      <c r="U276">
        <v>126.925119</v>
      </c>
      <c r="V276" t="s">
        <v>572</v>
      </c>
      <c r="W276" t="s">
        <v>573</v>
      </c>
      <c r="X276">
        <v>1</v>
      </c>
      <c r="Y276">
        <v>0</v>
      </c>
      <c r="Z276">
        <v>0</v>
      </c>
      <c r="AA276" t="s">
        <v>124</v>
      </c>
      <c r="AB276" t="s">
        <v>574</v>
      </c>
      <c r="AC276">
        <v>70000</v>
      </c>
      <c r="AD276">
        <v>0</v>
      </c>
      <c r="AE276" t="s">
        <v>101</v>
      </c>
      <c r="AF276" t="s">
        <v>165</v>
      </c>
      <c r="AG276" t="s">
        <v>166</v>
      </c>
      <c r="AH276">
        <v>115.59321262223921</v>
      </c>
      <c r="AI276" t="s">
        <v>47</v>
      </c>
      <c r="AJ276" t="s">
        <v>104</v>
      </c>
      <c r="AK276">
        <v>1154.0393989497686</v>
      </c>
      <c r="AL276" t="s">
        <v>105</v>
      </c>
      <c r="AM276" s="41" t="s">
        <v>575</v>
      </c>
    </row>
    <row r="277" spans="1:56" hidden="1">
      <c r="A277">
        <v>2610087127</v>
      </c>
      <c r="B277">
        <v>1144012400</v>
      </c>
      <c r="C277" t="s">
        <v>134</v>
      </c>
      <c r="D277" t="s">
        <v>0</v>
      </c>
      <c r="E277" t="s">
        <v>94</v>
      </c>
      <c r="F277" t="s">
        <v>95</v>
      </c>
      <c r="G277">
        <v>1</v>
      </c>
      <c r="H277">
        <v>4</v>
      </c>
      <c r="I277">
        <v>52000</v>
      </c>
      <c r="J277">
        <v>0</v>
      </c>
      <c r="K277" t="s">
        <v>273</v>
      </c>
      <c r="L277">
        <v>51</v>
      </c>
      <c r="M277">
        <v>15</v>
      </c>
      <c r="N277">
        <v>3466</v>
      </c>
      <c r="O277">
        <v>28.08</v>
      </c>
      <c r="P277">
        <v>8</v>
      </c>
      <c r="Q277">
        <v>6500</v>
      </c>
      <c r="R277" t="s">
        <v>161</v>
      </c>
      <c r="S277" s="40">
        <v>46076</v>
      </c>
      <c r="T277">
        <v>37.564503999999999</v>
      </c>
      <c r="U277">
        <v>126.920433</v>
      </c>
      <c r="V277" t="s">
        <v>679</v>
      </c>
      <c r="W277" t="s">
        <v>497</v>
      </c>
      <c r="X277">
        <v>2</v>
      </c>
      <c r="Y277" t="s">
        <v>345</v>
      </c>
      <c r="Z277" t="s">
        <v>273</v>
      </c>
      <c r="AA277" t="s">
        <v>139</v>
      </c>
      <c r="AB277" t="s">
        <v>680</v>
      </c>
      <c r="AC277">
        <v>52000</v>
      </c>
      <c r="AD277">
        <v>0</v>
      </c>
      <c r="AE277" t="s">
        <v>101</v>
      </c>
      <c r="AF277" t="s">
        <v>165</v>
      </c>
      <c r="AG277" t="s">
        <v>166</v>
      </c>
      <c r="AH277">
        <v>752.58138790735131</v>
      </c>
      <c r="AI277" t="s">
        <v>47</v>
      </c>
      <c r="AJ277" t="s">
        <v>104</v>
      </c>
      <c r="AK277">
        <v>1285.9823140397048</v>
      </c>
      <c r="AL277" t="s">
        <v>105</v>
      </c>
      <c r="AM277" s="41" t="s">
        <v>681</v>
      </c>
    </row>
    <row r="278" spans="1:56">
      <c r="A278">
        <v>2610904606</v>
      </c>
      <c r="B278">
        <v>1144012000</v>
      </c>
      <c r="C278" t="s">
        <v>134</v>
      </c>
      <c r="D278" t="s">
        <v>0</v>
      </c>
      <c r="E278" t="s">
        <v>94</v>
      </c>
      <c r="F278" t="s">
        <v>135</v>
      </c>
      <c r="G278" t="s">
        <v>35</v>
      </c>
      <c r="H278">
        <v>9</v>
      </c>
      <c r="I278">
        <v>160000</v>
      </c>
      <c r="J278">
        <v>0</v>
      </c>
      <c r="K278" t="s">
        <v>187</v>
      </c>
      <c r="L278">
        <v>178</v>
      </c>
      <c r="M278">
        <v>53</v>
      </c>
      <c r="N278">
        <v>3018</v>
      </c>
      <c r="O278">
        <v>89.91</v>
      </c>
      <c r="P278">
        <v>27</v>
      </c>
      <c r="Q278">
        <v>5926</v>
      </c>
      <c r="R278" t="s">
        <v>145</v>
      </c>
      <c r="S278" s="40">
        <v>46079</v>
      </c>
      <c r="T278">
        <v>37.550941000000002</v>
      </c>
      <c r="U278">
        <v>126.913787</v>
      </c>
      <c r="V278" t="s">
        <v>314</v>
      </c>
      <c r="W278" t="s">
        <v>315</v>
      </c>
      <c r="X278">
        <v>1</v>
      </c>
      <c r="Y278">
        <v>0</v>
      </c>
      <c r="Z278">
        <v>0</v>
      </c>
      <c r="AA278" t="s">
        <v>113</v>
      </c>
      <c r="AB278" t="s">
        <v>316</v>
      </c>
      <c r="AC278">
        <v>160000</v>
      </c>
      <c r="AD278">
        <v>0</v>
      </c>
      <c r="AE278" t="s">
        <v>101</v>
      </c>
      <c r="AF278" t="s">
        <v>115</v>
      </c>
      <c r="AG278" t="s">
        <v>116</v>
      </c>
      <c r="AH278">
        <v>132.01770664783839</v>
      </c>
      <c r="AI278" t="s">
        <v>47</v>
      </c>
      <c r="AJ278" t="s">
        <v>104</v>
      </c>
      <c r="AK278">
        <v>528.48255152744889</v>
      </c>
      <c r="AL278">
        <v>1</v>
      </c>
      <c r="AM278" s="41" t="s">
        <v>178</v>
      </c>
      <c r="AN278">
        <f t="shared" ref="AN278:AN279" si="130">IFERROR(VALUE(LEFT($W278,FIND("년",$W278)-1)),"")</f>
        <v>15</v>
      </c>
      <c r="AO278" t="str">
        <f t="shared" ref="AO278:AO279" si="131">IFERROR(IF(FIND("년",$W278)=3,MID($W278,FIND("년",$W278)+1,FIND("년",$W278)-1),MID($W278,FIND("년",$W278)+1,FIND("년",$W278))),"")</f>
        <v>이내</v>
      </c>
      <c r="AP278">
        <f t="shared" ref="AP278:AP279" si="132">IFERROR(IF($AN278&lt;11,10,IF(AND($AN278&lt;26,$AO278="이내"),25,26)),"")</f>
        <v>25</v>
      </c>
      <c r="AQ278">
        <f t="shared" ref="AQ278:AQ279" si="133">IFERROR(IF($P278&lt;10,9,IF($P278&lt;20,10,IF($P278&lt;30,20,IF($P278&lt;40,30,40)))),"")</f>
        <v>20</v>
      </c>
      <c r="AR278" t="str">
        <f t="shared" ref="AR278:AR279" si="134">IFERROR(IF($D278="상가",IF($G278="1","1층",IF($G278="전체층","전체층",IF(LEFT($G278,1)="B","B1",IF($G278&lt;6,"저",IF($G278/$H278&lt;=$BC$9,"저",IF($G278/$H278&lt;=$BC$10,"중","고")))))),IF(LEFT($G278,1)="B","B1",IF($H278&lt;6,"저",IF($G278/$H278&lt;=$BC$2,"저",IF($G278/$H278&lt;=$BC$3,"중","고"))))),"")</f>
        <v>B1</v>
      </c>
      <c r="AS278">
        <f>IFERROR(ACOS(SIN(RADIANS(거래사례!$S$11))*SIN(RADIANS($T278))+COS(RADIANS(거래사례!$S$11))*COS(RADIANS($T278))*COS(RADIANS($U278-거래사례!$P$11)))*6371000,"")</f>
        <v>1675.9268209773247</v>
      </c>
    </row>
    <row r="279" spans="1:56">
      <c r="A279">
        <v>2610904606</v>
      </c>
      <c r="B279">
        <v>1144012000</v>
      </c>
      <c r="C279" t="s">
        <v>134</v>
      </c>
      <c r="D279" t="s">
        <v>0</v>
      </c>
      <c r="E279" t="s">
        <v>94</v>
      </c>
      <c r="F279" t="s">
        <v>135</v>
      </c>
      <c r="G279" t="s">
        <v>35</v>
      </c>
      <c r="H279">
        <v>9</v>
      </c>
      <c r="I279">
        <v>160000</v>
      </c>
      <c r="J279">
        <v>0</v>
      </c>
      <c r="K279" t="s">
        <v>187</v>
      </c>
      <c r="L279">
        <v>178</v>
      </c>
      <c r="M279">
        <v>53</v>
      </c>
      <c r="N279">
        <v>3018</v>
      </c>
      <c r="O279">
        <v>89.91</v>
      </c>
      <c r="P279">
        <v>27</v>
      </c>
      <c r="Q279">
        <v>5926</v>
      </c>
      <c r="R279" t="s">
        <v>145</v>
      </c>
      <c r="S279" s="40">
        <v>46079</v>
      </c>
      <c r="T279">
        <v>37.550941000000002</v>
      </c>
      <c r="U279">
        <v>126.913787</v>
      </c>
      <c r="V279" t="s">
        <v>314</v>
      </c>
      <c r="W279" t="s">
        <v>315</v>
      </c>
      <c r="X279">
        <v>1</v>
      </c>
      <c r="Y279">
        <v>0</v>
      </c>
      <c r="Z279">
        <v>0</v>
      </c>
      <c r="AA279" t="s">
        <v>113</v>
      </c>
      <c r="AB279" t="s">
        <v>316</v>
      </c>
      <c r="AC279">
        <v>160000</v>
      </c>
      <c r="AD279">
        <v>0</v>
      </c>
      <c r="AE279" t="s">
        <v>101</v>
      </c>
      <c r="AF279" t="s">
        <v>115</v>
      </c>
      <c r="AG279" t="s">
        <v>116</v>
      </c>
      <c r="AH279">
        <v>132.01770664783839</v>
      </c>
      <c r="AI279" t="s">
        <v>47</v>
      </c>
      <c r="AJ279" t="s">
        <v>104</v>
      </c>
      <c r="AK279">
        <v>528.48255152744889</v>
      </c>
      <c r="AL279">
        <v>1</v>
      </c>
      <c r="AM279" s="41" t="s">
        <v>178</v>
      </c>
      <c r="AN279">
        <f t="shared" si="130"/>
        <v>15</v>
      </c>
      <c r="AO279" t="str">
        <f t="shared" si="131"/>
        <v>이내</v>
      </c>
      <c r="AP279">
        <f t="shared" si="132"/>
        <v>25</v>
      </c>
      <c r="AQ279">
        <f t="shared" si="133"/>
        <v>20</v>
      </c>
      <c r="AR279" t="str">
        <f t="shared" si="134"/>
        <v>B1</v>
      </c>
      <c r="AS279">
        <f>IFERROR(ACOS(SIN(RADIANS(거래사례!$S$11))*SIN(RADIANS($T279))+COS(RADIANS(거래사례!$S$11))*COS(RADIANS($T279))*COS(RADIANS($U279-거래사례!$P$11)))*6371000,"")</f>
        <v>1675.9268209773247</v>
      </c>
    </row>
    <row r="280" spans="1:56" hidden="1">
      <c r="A280">
        <v>2609124574</v>
      </c>
      <c r="B280">
        <v>1144012400</v>
      </c>
      <c r="C280" t="s">
        <v>93</v>
      </c>
      <c r="D280" t="s">
        <v>0</v>
      </c>
      <c r="E280" t="s">
        <v>94</v>
      </c>
      <c r="F280" t="s">
        <v>95</v>
      </c>
      <c r="G280">
        <v>1</v>
      </c>
      <c r="H280">
        <v>5</v>
      </c>
      <c r="I280">
        <v>55000</v>
      </c>
      <c r="J280">
        <v>0</v>
      </c>
      <c r="K280" t="s">
        <v>528</v>
      </c>
      <c r="L280">
        <v>26</v>
      </c>
      <c r="M280">
        <v>7</v>
      </c>
      <c r="N280">
        <v>7857</v>
      </c>
      <c r="O280">
        <v>26.04</v>
      </c>
      <c r="P280">
        <v>7</v>
      </c>
      <c r="Q280">
        <v>7857</v>
      </c>
      <c r="R280" t="s">
        <v>121</v>
      </c>
      <c r="S280" s="40">
        <v>46072</v>
      </c>
      <c r="T280">
        <v>37.562354999999997</v>
      </c>
      <c r="U280">
        <v>126.920091</v>
      </c>
      <c r="V280" t="s">
        <v>607</v>
      </c>
      <c r="W280" t="s">
        <v>608</v>
      </c>
      <c r="X280">
        <v>1</v>
      </c>
      <c r="Y280">
        <v>0</v>
      </c>
      <c r="Z280">
        <v>0</v>
      </c>
      <c r="AA280" t="s">
        <v>139</v>
      </c>
      <c r="AB280" t="s">
        <v>609</v>
      </c>
      <c r="AC280">
        <v>55000</v>
      </c>
      <c r="AD280">
        <v>0</v>
      </c>
      <c r="AE280" t="s">
        <v>101</v>
      </c>
      <c r="AF280" t="s">
        <v>165</v>
      </c>
      <c r="AG280" t="s">
        <v>166</v>
      </c>
      <c r="AH280">
        <v>625.70464692952532</v>
      </c>
      <c r="AI280" t="s">
        <v>47</v>
      </c>
      <c r="AJ280" t="s">
        <v>104</v>
      </c>
      <c r="AK280">
        <v>1340.5337714535356</v>
      </c>
      <c r="AL280" t="s">
        <v>105</v>
      </c>
      <c r="AM280" s="41" t="s">
        <v>610</v>
      </c>
    </row>
    <row r="281" spans="1:56">
      <c r="A281">
        <v>2608478866</v>
      </c>
      <c r="B281">
        <v>1144012200</v>
      </c>
      <c r="C281" t="s">
        <v>134</v>
      </c>
      <c r="D281" t="s">
        <v>0</v>
      </c>
      <c r="E281" t="s">
        <v>94</v>
      </c>
      <c r="F281" t="s">
        <v>95</v>
      </c>
      <c r="G281">
        <v>1</v>
      </c>
      <c r="H281">
        <v>37</v>
      </c>
      <c r="I281">
        <v>155000</v>
      </c>
      <c r="J281">
        <v>0</v>
      </c>
      <c r="K281" t="s">
        <v>317</v>
      </c>
      <c r="L281">
        <v>219</v>
      </c>
      <c r="M281">
        <v>66</v>
      </c>
      <c r="N281">
        <v>2348</v>
      </c>
      <c r="O281">
        <v>86.99</v>
      </c>
      <c r="P281">
        <v>26</v>
      </c>
      <c r="Q281">
        <v>5962</v>
      </c>
      <c r="R281" t="s">
        <v>96</v>
      </c>
      <c r="S281" s="40">
        <v>46065</v>
      </c>
      <c r="T281">
        <v>37.549999</v>
      </c>
      <c r="U281">
        <v>126.912199</v>
      </c>
      <c r="V281" t="s">
        <v>318</v>
      </c>
      <c r="W281" t="s">
        <v>319</v>
      </c>
      <c r="X281">
        <v>1</v>
      </c>
      <c r="Y281">
        <v>0</v>
      </c>
      <c r="Z281">
        <v>0</v>
      </c>
      <c r="AA281" t="s">
        <v>113</v>
      </c>
      <c r="AB281" t="s">
        <v>320</v>
      </c>
      <c r="AC281">
        <v>155000</v>
      </c>
      <c r="AD281">
        <v>0</v>
      </c>
      <c r="AE281" t="s">
        <v>101</v>
      </c>
      <c r="AF281" t="s">
        <v>115</v>
      </c>
      <c r="AG281" t="s">
        <v>116</v>
      </c>
      <c r="AH281">
        <v>137.74618191953701</v>
      </c>
      <c r="AI281" t="s">
        <v>47</v>
      </c>
      <c r="AJ281" t="s">
        <v>104</v>
      </c>
      <c r="AK281">
        <v>703.58130689878158</v>
      </c>
      <c r="AL281" t="s">
        <v>105</v>
      </c>
      <c r="AM281" s="41" t="s">
        <v>272</v>
      </c>
      <c r="AN281">
        <f t="shared" ref="AN281:AN286" si="135">IFERROR(VALUE(LEFT($W281,FIND("년",$W281)-1)),"")</f>
        <v>15</v>
      </c>
      <c r="AO281" t="str">
        <f t="shared" ref="AO281:AO286" si="136">IFERROR(IF(FIND("년",$W281)=3,MID($W281,FIND("년",$W281)+1,FIND("년",$W281)-1),MID($W281,FIND("년",$W281)+1,FIND("년",$W281))),"")</f>
        <v>이내</v>
      </c>
      <c r="AP281">
        <f t="shared" ref="AP281:AP286" si="137">IFERROR(IF($AN281&lt;11,10,IF(AND($AN281&lt;26,$AO281="이내"),25,26)),"")</f>
        <v>25</v>
      </c>
      <c r="AQ281">
        <f t="shared" ref="AQ281:AQ286" si="138">IFERROR(IF($P281&lt;10,9,IF($P281&lt;20,10,IF($P281&lt;30,20,IF($P281&lt;40,30,40)))),"")</f>
        <v>20</v>
      </c>
      <c r="AR281" t="str">
        <f t="shared" ref="AR281:AR286" si="139">IFERROR(IF($D281="상가",IF($G281="1","1층",IF($G281="전체층","전체층",IF(LEFT($G281,1)="B","B1",IF($G281&lt;6,"저",IF($G281/$H281&lt;=$BC$9,"저",IF($G281/$H281&lt;=$BC$10,"중","고")))))),IF(LEFT($G281,1)="B","B1",IF($H281&lt;6,"저",IF($G281/$H281&lt;=$BC$2,"저",IF($G281/$H281&lt;=$BC$3,"중","고"))))),"")</f>
        <v>저</v>
      </c>
      <c r="AS281">
        <f>IFERROR(ACOS(SIN(RADIANS(거래사례!$S$11))*SIN(RADIANS($T281))+COS(RADIANS(거래사례!$S$11))*COS(RADIANS($T281))*COS(RADIANS($U281-거래사례!$P$11)))*6371000,"")</f>
        <v>1850.7539812283114</v>
      </c>
    </row>
    <row r="282" spans="1:56">
      <c r="A282">
        <v>2606566605</v>
      </c>
      <c r="B282">
        <v>1144012200</v>
      </c>
      <c r="C282" t="s">
        <v>134</v>
      </c>
      <c r="D282" t="s">
        <v>0</v>
      </c>
      <c r="E282" t="s">
        <v>94</v>
      </c>
      <c r="F282" t="s">
        <v>95</v>
      </c>
      <c r="G282">
        <v>1</v>
      </c>
      <c r="H282">
        <v>37</v>
      </c>
      <c r="I282">
        <v>155000</v>
      </c>
      <c r="J282">
        <v>0</v>
      </c>
      <c r="K282" t="s">
        <v>317</v>
      </c>
      <c r="L282">
        <v>219</v>
      </c>
      <c r="M282">
        <v>66</v>
      </c>
      <c r="N282">
        <v>2348</v>
      </c>
      <c r="O282">
        <v>86.99</v>
      </c>
      <c r="P282">
        <v>26</v>
      </c>
      <c r="Q282">
        <v>5962</v>
      </c>
      <c r="R282" t="s">
        <v>96</v>
      </c>
      <c r="S282" s="40">
        <v>46056</v>
      </c>
      <c r="T282">
        <v>37.549999</v>
      </c>
      <c r="U282">
        <v>126.912199</v>
      </c>
      <c r="V282" t="s">
        <v>321</v>
      </c>
      <c r="W282" t="s">
        <v>319</v>
      </c>
      <c r="X282">
        <v>1</v>
      </c>
      <c r="Y282">
        <v>0</v>
      </c>
      <c r="Z282">
        <v>0</v>
      </c>
      <c r="AA282" t="s">
        <v>222</v>
      </c>
      <c r="AB282" t="s">
        <v>322</v>
      </c>
      <c r="AC282">
        <v>155000</v>
      </c>
      <c r="AD282">
        <v>0</v>
      </c>
      <c r="AE282" t="s">
        <v>101</v>
      </c>
      <c r="AF282" t="s">
        <v>115</v>
      </c>
      <c r="AG282" t="s">
        <v>116</v>
      </c>
      <c r="AH282">
        <v>137.74618191953701</v>
      </c>
      <c r="AI282" t="s">
        <v>47</v>
      </c>
      <c r="AJ282" t="s">
        <v>104</v>
      </c>
      <c r="AK282">
        <v>703.58130689878158</v>
      </c>
      <c r="AL282" t="s">
        <v>105</v>
      </c>
      <c r="AM282" s="41" t="s">
        <v>272</v>
      </c>
      <c r="AN282">
        <f t="shared" si="135"/>
        <v>15</v>
      </c>
      <c r="AO282" t="str">
        <f t="shared" si="136"/>
        <v>이내</v>
      </c>
      <c r="AP282">
        <f t="shared" si="137"/>
        <v>25</v>
      </c>
      <c r="AQ282">
        <f t="shared" si="138"/>
        <v>20</v>
      </c>
      <c r="AR282" t="str">
        <f t="shared" si="139"/>
        <v>저</v>
      </c>
      <c r="AS282">
        <f>IFERROR(ACOS(SIN(RADIANS(거래사례!$S$11))*SIN(RADIANS($T282))+COS(RADIANS(거래사례!$S$11))*COS(RADIANS($T282))*COS(RADIANS($U282-거래사례!$P$11)))*6371000,"")</f>
        <v>1850.7539812283114</v>
      </c>
    </row>
    <row r="283" spans="1:56">
      <c r="A283">
        <v>2608478866</v>
      </c>
      <c r="B283">
        <v>1144012200</v>
      </c>
      <c r="C283" t="s">
        <v>134</v>
      </c>
      <c r="D283" t="s">
        <v>0</v>
      </c>
      <c r="E283" t="s">
        <v>94</v>
      </c>
      <c r="F283" t="s">
        <v>95</v>
      </c>
      <c r="G283">
        <v>1</v>
      </c>
      <c r="H283">
        <v>37</v>
      </c>
      <c r="I283">
        <v>155000</v>
      </c>
      <c r="J283">
        <v>0</v>
      </c>
      <c r="K283" t="s">
        <v>317</v>
      </c>
      <c r="L283">
        <v>219</v>
      </c>
      <c r="M283">
        <v>66</v>
      </c>
      <c r="N283">
        <v>2348</v>
      </c>
      <c r="O283">
        <v>86.99</v>
      </c>
      <c r="P283">
        <v>26</v>
      </c>
      <c r="Q283">
        <v>5962</v>
      </c>
      <c r="R283" t="s">
        <v>96</v>
      </c>
      <c r="S283" s="40">
        <v>46065</v>
      </c>
      <c r="T283">
        <v>37.549999</v>
      </c>
      <c r="U283">
        <v>126.912199</v>
      </c>
      <c r="V283" t="s">
        <v>318</v>
      </c>
      <c r="W283" t="s">
        <v>319</v>
      </c>
      <c r="X283">
        <v>1</v>
      </c>
      <c r="Y283">
        <v>0</v>
      </c>
      <c r="Z283">
        <v>0</v>
      </c>
      <c r="AA283" t="s">
        <v>113</v>
      </c>
      <c r="AB283" t="s">
        <v>320</v>
      </c>
      <c r="AC283">
        <v>155000</v>
      </c>
      <c r="AD283">
        <v>0</v>
      </c>
      <c r="AE283" t="s">
        <v>101</v>
      </c>
      <c r="AF283" t="s">
        <v>115</v>
      </c>
      <c r="AG283" t="s">
        <v>116</v>
      </c>
      <c r="AH283">
        <v>137.74618191953701</v>
      </c>
      <c r="AI283" t="s">
        <v>47</v>
      </c>
      <c r="AJ283" t="s">
        <v>104</v>
      </c>
      <c r="AK283">
        <v>703.58130689878158</v>
      </c>
      <c r="AL283" t="s">
        <v>105</v>
      </c>
      <c r="AM283" s="41" t="s">
        <v>272</v>
      </c>
      <c r="AN283">
        <f t="shared" si="135"/>
        <v>15</v>
      </c>
      <c r="AO283" t="str">
        <f t="shared" si="136"/>
        <v>이내</v>
      </c>
      <c r="AP283">
        <f t="shared" si="137"/>
        <v>25</v>
      </c>
      <c r="AQ283">
        <f t="shared" si="138"/>
        <v>20</v>
      </c>
      <c r="AR283" t="str">
        <f t="shared" si="139"/>
        <v>저</v>
      </c>
      <c r="AS283">
        <f>IFERROR(ACOS(SIN(RADIANS(거래사례!$S$11))*SIN(RADIANS($T283))+COS(RADIANS(거래사례!$S$11))*COS(RADIANS($T283))*COS(RADIANS($U283-거래사례!$P$11)))*6371000,"")</f>
        <v>1850.7539812283114</v>
      </c>
    </row>
    <row r="284" spans="1:56">
      <c r="A284">
        <v>2606566605</v>
      </c>
      <c r="B284">
        <v>1144012200</v>
      </c>
      <c r="C284" t="s">
        <v>134</v>
      </c>
      <c r="D284" t="s">
        <v>0</v>
      </c>
      <c r="E284" t="s">
        <v>94</v>
      </c>
      <c r="F284" t="s">
        <v>95</v>
      </c>
      <c r="G284">
        <v>1</v>
      </c>
      <c r="H284">
        <v>37</v>
      </c>
      <c r="I284">
        <v>155000</v>
      </c>
      <c r="J284">
        <v>0</v>
      </c>
      <c r="K284" t="s">
        <v>317</v>
      </c>
      <c r="L284">
        <v>219</v>
      </c>
      <c r="M284">
        <v>66</v>
      </c>
      <c r="N284">
        <v>2348</v>
      </c>
      <c r="O284">
        <v>86.99</v>
      </c>
      <c r="P284">
        <v>26</v>
      </c>
      <c r="Q284">
        <v>5962</v>
      </c>
      <c r="R284" t="s">
        <v>96</v>
      </c>
      <c r="S284" s="40">
        <v>46056</v>
      </c>
      <c r="T284">
        <v>37.549999</v>
      </c>
      <c r="U284">
        <v>126.912199</v>
      </c>
      <c r="V284" t="s">
        <v>321</v>
      </c>
      <c r="W284" t="s">
        <v>319</v>
      </c>
      <c r="X284">
        <v>1</v>
      </c>
      <c r="Y284">
        <v>0</v>
      </c>
      <c r="Z284">
        <v>0</v>
      </c>
      <c r="AA284" t="s">
        <v>222</v>
      </c>
      <c r="AB284" t="s">
        <v>322</v>
      </c>
      <c r="AC284">
        <v>155000</v>
      </c>
      <c r="AD284">
        <v>0</v>
      </c>
      <c r="AE284" t="s">
        <v>101</v>
      </c>
      <c r="AF284" t="s">
        <v>115</v>
      </c>
      <c r="AG284" t="s">
        <v>116</v>
      </c>
      <c r="AH284">
        <v>137.74618191953701</v>
      </c>
      <c r="AI284" t="s">
        <v>47</v>
      </c>
      <c r="AJ284" t="s">
        <v>104</v>
      </c>
      <c r="AK284">
        <v>703.58130689878158</v>
      </c>
      <c r="AL284" t="s">
        <v>105</v>
      </c>
      <c r="AM284" s="41" t="s">
        <v>272</v>
      </c>
      <c r="AN284">
        <f t="shared" si="135"/>
        <v>15</v>
      </c>
      <c r="AO284" t="str">
        <f t="shared" si="136"/>
        <v>이내</v>
      </c>
      <c r="AP284">
        <f t="shared" si="137"/>
        <v>25</v>
      </c>
      <c r="AQ284">
        <f t="shared" si="138"/>
        <v>20</v>
      </c>
      <c r="AR284" t="str">
        <f t="shared" si="139"/>
        <v>저</v>
      </c>
      <c r="AS284">
        <f>IFERROR(ACOS(SIN(RADIANS(거래사례!$S$11))*SIN(RADIANS($T284))+COS(RADIANS(거래사례!$S$11))*COS(RADIANS($T284))*COS(RADIANS($U284-거래사례!$P$11)))*6371000,"")</f>
        <v>1850.7539812283114</v>
      </c>
    </row>
    <row r="285" spans="1:56">
      <c r="A285">
        <v>2609717122</v>
      </c>
      <c r="B285">
        <v>1144012000</v>
      </c>
      <c r="C285" t="s">
        <v>93</v>
      </c>
      <c r="D285" t="s">
        <v>0</v>
      </c>
      <c r="E285" t="s">
        <v>94</v>
      </c>
      <c r="F285" t="s">
        <v>95</v>
      </c>
      <c r="G285">
        <v>1</v>
      </c>
      <c r="H285">
        <v>2</v>
      </c>
      <c r="I285">
        <v>480000</v>
      </c>
      <c r="J285">
        <v>0</v>
      </c>
      <c r="K285" t="s">
        <v>334</v>
      </c>
      <c r="L285">
        <v>240</v>
      </c>
      <c r="M285">
        <v>72</v>
      </c>
      <c r="N285">
        <v>6666</v>
      </c>
      <c r="O285">
        <v>240</v>
      </c>
      <c r="P285">
        <v>72</v>
      </c>
      <c r="Q285">
        <v>6667</v>
      </c>
      <c r="R285" t="s">
        <v>208</v>
      </c>
      <c r="S285" s="40">
        <v>46074</v>
      </c>
      <c r="T285">
        <v>37.549441999999999</v>
      </c>
      <c r="U285">
        <v>126.91883199999999</v>
      </c>
      <c r="V285" t="s">
        <v>335</v>
      </c>
      <c r="W285" t="s">
        <v>336</v>
      </c>
      <c r="X285">
        <v>1</v>
      </c>
      <c r="Y285">
        <v>0</v>
      </c>
      <c r="Z285">
        <v>0</v>
      </c>
      <c r="AA285" t="s">
        <v>139</v>
      </c>
      <c r="AB285" t="s">
        <v>337</v>
      </c>
      <c r="AC285">
        <v>480000</v>
      </c>
      <c r="AD285">
        <v>0</v>
      </c>
      <c r="AE285" t="s">
        <v>101</v>
      </c>
      <c r="AF285" t="s">
        <v>115</v>
      </c>
      <c r="AG285" t="s">
        <v>116</v>
      </c>
      <c r="AH285">
        <v>472.83050481870515</v>
      </c>
      <c r="AI285" t="s">
        <v>47</v>
      </c>
      <c r="AJ285" t="s">
        <v>104</v>
      </c>
      <c r="AK285">
        <v>114.5249521721686</v>
      </c>
      <c r="AL285">
        <v>1</v>
      </c>
      <c r="AM285" s="41" t="s">
        <v>338</v>
      </c>
      <c r="AN285">
        <f t="shared" si="135"/>
        <v>25</v>
      </c>
      <c r="AO285" t="str">
        <f t="shared" si="136"/>
        <v>이상</v>
      </c>
      <c r="AP285">
        <f t="shared" si="137"/>
        <v>26</v>
      </c>
      <c r="AQ285">
        <f t="shared" si="138"/>
        <v>40</v>
      </c>
      <c r="AR285" t="str">
        <f t="shared" si="139"/>
        <v>저</v>
      </c>
      <c r="AS285">
        <f>IFERROR(ACOS(SIN(RADIANS(거래사례!$S$11))*SIN(RADIANS($T285))+COS(RADIANS(거래사례!$S$11))*COS(RADIANS($T285))*COS(RADIANS($U285-거래사례!$P$11)))*6371000,"")</f>
        <v>1468.6176484997497</v>
      </c>
    </row>
    <row r="286" spans="1:56">
      <c r="A286">
        <v>2609717122</v>
      </c>
      <c r="B286">
        <v>1144012000</v>
      </c>
      <c r="C286" t="s">
        <v>93</v>
      </c>
      <c r="D286" t="s">
        <v>0</v>
      </c>
      <c r="E286" t="s">
        <v>94</v>
      </c>
      <c r="F286" t="s">
        <v>95</v>
      </c>
      <c r="G286">
        <v>1</v>
      </c>
      <c r="H286">
        <v>2</v>
      </c>
      <c r="I286">
        <v>480000</v>
      </c>
      <c r="J286">
        <v>0</v>
      </c>
      <c r="K286" t="s">
        <v>334</v>
      </c>
      <c r="L286">
        <v>240</v>
      </c>
      <c r="M286">
        <v>72</v>
      </c>
      <c r="N286">
        <v>6666</v>
      </c>
      <c r="O286">
        <v>240</v>
      </c>
      <c r="P286">
        <v>72</v>
      </c>
      <c r="Q286">
        <v>6667</v>
      </c>
      <c r="R286" t="s">
        <v>208</v>
      </c>
      <c r="S286" s="40">
        <v>46074</v>
      </c>
      <c r="T286">
        <v>37.549441999999999</v>
      </c>
      <c r="U286">
        <v>126.91883199999999</v>
      </c>
      <c r="V286" t="s">
        <v>335</v>
      </c>
      <c r="W286" t="s">
        <v>336</v>
      </c>
      <c r="X286">
        <v>1</v>
      </c>
      <c r="Y286">
        <v>0</v>
      </c>
      <c r="Z286">
        <v>0</v>
      </c>
      <c r="AA286" t="s">
        <v>139</v>
      </c>
      <c r="AB286" t="s">
        <v>337</v>
      </c>
      <c r="AC286">
        <v>480000</v>
      </c>
      <c r="AD286">
        <v>0</v>
      </c>
      <c r="AE286" t="s">
        <v>101</v>
      </c>
      <c r="AF286" t="s">
        <v>115</v>
      </c>
      <c r="AG286" t="s">
        <v>116</v>
      </c>
      <c r="AH286">
        <v>472.83050481870515</v>
      </c>
      <c r="AI286" t="s">
        <v>47</v>
      </c>
      <c r="AJ286" t="s">
        <v>104</v>
      </c>
      <c r="AK286">
        <v>114.5249521721686</v>
      </c>
      <c r="AL286">
        <v>1</v>
      </c>
      <c r="AM286" s="41" t="s">
        <v>338</v>
      </c>
      <c r="AN286">
        <f t="shared" si="135"/>
        <v>25</v>
      </c>
      <c r="AO286" t="str">
        <f t="shared" si="136"/>
        <v>이상</v>
      </c>
      <c r="AP286">
        <f t="shared" si="137"/>
        <v>26</v>
      </c>
      <c r="AQ286">
        <f t="shared" si="138"/>
        <v>40</v>
      </c>
      <c r="AR286" t="str">
        <f t="shared" si="139"/>
        <v>저</v>
      </c>
      <c r="AS286">
        <f>IFERROR(ACOS(SIN(RADIANS(거래사례!$S$11))*SIN(RADIANS($T286))+COS(RADIANS(거래사례!$S$11))*COS(RADIANS($T286))*COS(RADIANS($U286-거래사례!$P$11)))*6371000,"")</f>
        <v>1468.6176484997497</v>
      </c>
    </row>
    <row r="287" spans="1:56" hidden="1">
      <c r="A287">
        <v>2610273517</v>
      </c>
      <c r="B287">
        <v>1144012400</v>
      </c>
      <c r="C287" t="s">
        <v>93</v>
      </c>
      <c r="D287" t="s">
        <v>0</v>
      </c>
      <c r="E287" t="s">
        <v>94</v>
      </c>
      <c r="F287" t="s">
        <v>119</v>
      </c>
      <c r="G287">
        <v>1</v>
      </c>
      <c r="H287">
        <v>3</v>
      </c>
      <c r="I287">
        <v>255000</v>
      </c>
      <c r="J287">
        <v>0</v>
      </c>
      <c r="K287" t="s">
        <v>645</v>
      </c>
      <c r="L287">
        <v>99</v>
      </c>
      <c r="M287">
        <v>29</v>
      </c>
      <c r="N287">
        <v>8793</v>
      </c>
      <c r="O287">
        <v>38.82</v>
      </c>
      <c r="P287">
        <v>11</v>
      </c>
      <c r="Q287">
        <v>23182</v>
      </c>
      <c r="R287" t="s">
        <v>96</v>
      </c>
      <c r="S287" s="40">
        <v>46076</v>
      </c>
      <c r="T287">
        <v>37.562255</v>
      </c>
      <c r="U287">
        <v>126.92640299999999</v>
      </c>
      <c r="V287" t="s">
        <v>646</v>
      </c>
      <c r="W287" t="s">
        <v>584</v>
      </c>
      <c r="X287">
        <v>1</v>
      </c>
      <c r="Y287">
        <v>0</v>
      </c>
      <c r="Z287">
        <v>0</v>
      </c>
      <c r="AA287" t="s">
        <v>124</v>
      </c>
      <c r="AB287" t="s">
        <v>647</v>
      </c>
      <c r="AC287">
        <v>255000</v>
      </c>
      <c r="AD287">
        <v>0</v>
      </c>
      <c r="AE287" t="s">
        <v>101</v>
      </c>
      <c r="AF287" t="s">
        <v>165</v>
      </c>
      <c r="AG287" t="s">
        <v>166</v>
      </c>
      <c r="AH287">
        <v>359.12852725158257</v>
      </c>
      <c r="AI287" t="s">
        <v>47</v>
      </c>
      <c r="AJ287" t="s">
        <v>104</v>
      </c>
      <c r="AK287">
        <v>873.38427990074229</v>
      </c>
      <c r="AL287" t="s">
        <v>105</v>
      </c>
      <c r="AM287" s="41" t="s">
        <v>648</v>
      </c>
    </row>
    <row r="288" spans="1:56">
      <c r="A288">
        <v>2609717122</v>
      </c>
      <c r="B288">
        <v>1144012000</v>
      </c>
      <c r="C288" t="s">
        <v>93</v>
      </c>
      <c r="D288" t="s">
        <v>0</v>
      </c>
      <c r="E288" t="s">
        <v>94</v>
      </c>
      <c r="F288" t="s">
        <v>95</v>
      </c>
      <c r="G288">
        <v>1</v>
      </c>
      <c r="H288">
        <v>2</v>
      </c>
      <c r="I288">
        <v>480000</v>
      </c>
      <c r="J288">
        <v>0</v>
      </c>
      <c r="K288" t="s">
        <v>334</v>
      </c>
      <c r="L288">
        <v>240</v>
      </c>
      <c r="M288">
        <v>72</v>
      </c>
      <c r="N288">
        <v>6666</v>
      </c>
      <c r="O288">
        <v>240</v>
      </c>
      <c r="P288">
        <v>72</v>
      </c>
      <c r="Q288">
        <v>6667</v>
      </c>
      <c r="R288" t="s">
        <v>208</v>
      </c>
      <c r="S288" s="40">
        <v>46074</v>
      </c>
      <c r="T288">
        <v>37.549441999999999</v>
      </c>
      <c r="U288">
        <v>126.91883199999999</v>
      </c>
      <c r="V288" t="s">
        <v>335</v>
      </c>
      <c r="W288" t="s">
        <v>336</v>
      </c>
      <c r="X288">
        <v>1</v>
      </c>
      <c r="Y288">
        <v>0</v>
      </c>
      <c r="Z288">
        <v>0</v>
      </c>
      <c r="AA288" t="s">
        <v>139</v>
      </c>
      <c r="AB288" t="s">
        <v>337</v>
      </c>
      <c r="AC288">
        <v>480000</v>
      </c>
      <c r="AD288">
        <v>0</v>
      </c>
      <c r="AE288" t="s">
        <v>101</v>
      </c>
      <c r="AF288" t="s">
        <v>115</v>
      </c>
      <c r="AG288" t="s">
        <v>116</v>
      </c>
      <c r="AH288">
        <v>472.83050481870515</v>
      </c>
      <c r="AI288" t="s">
        <v>47</v>
      </c>
      <c r="AJ288" t="s">
        <v>104</v>
      </c>
      <c r="AK288">
        <v>114.5249521721686</v>
      </c>
      <c r="AL288">
        <v>1</v>
      </c>
      <c r="AM288" s="41" t="s">
        <v>338</v>
      </c>
      <c r="AN288">
        <f t="shared" ref="AN288:AN291" si="140">IFERROR(VALUE(LEFT($W288,FIND("년",$W288)-1)),"")</f>
        <v>25</v>
      </c>
      <c r="AO288" t="str">
        <f t="shared" ref="AO288:AO291" si="141">IFERROR(IF(FIND("년",$W288)=3,MID($W288,FIND("년",$W288)+1,FIND("년",$W288)-1),MID($W288,FIND("년",$W288)+1,FIND("년",$W288))),"")</f>
        <v>이상</v>
      </c>
      <c r="AP288">
        <f t="shared" ref="AP288:AP291" si="142">IFERROR(IF($AN288&lt;11,10,IF(AND($AN288&lt;26,$AO288="이내"),25,26)),"")</f>
        <v>26</v>
      </c>
      <c r="AQ288">
        <f t="shared" ref="AQ288:AQ291" si="143">IFERROR(IF($P288&lt;10,9,IF($P288&lt;20,10,IF($P288&lt;30,20,IF($P288&lt;40,30,40)))),"")</f>
        <v>40</v>
      </c>
      <c r="AR288" t="str">
        <f t="shared" ref="AR288:AR291" si="144">IFERROR(IF($D288="상가",IF($G288="1","1층",IF($G288="전체층","전체층",IF(LEFT($G288,1)="B","B1",IF($G288&lt;6,"저",IF($G288/$H288&lt;=$BC$9,"저",IF($G288/$H288&lt;=$BC$10,"중","고")))))),IF(LEFT($G288,1)="B","B1",IF($H288&lt;6,"저",IF($G288/$H288&lt;=$BC$2,"저",IF($G288/$H288&lt;=$BC$3,"중","고"))))),"")</f>
        <v>저</v>
      </c>
      <c r="AS288">
        <f>IFERROR(ACOS(SIN(RADIANS(거래사례!$S$11))*SIN(RADIANS($T288))+COS(RADIANS(거래사례!$S$11))*COS(RADIANS($T288))*COS(RADIANS($U288-거래사례!$P$11)))*6371000,"")</f>
        <v>1468.6176484997497</v>
      </c>
      <c r="BB288" t="s">
        <v>107</v>
      </c>
      <c r="BC288">
        <v>0.2</v>
      </c>
      <c r="BD288">
        <v>0</v>
      </c>
    </row>
    <row r="289" spans="1:56">
      <c r="A289">
        <v>2609717122</v>
      </c>
      <c r="B289">
        <v>1144012000</v>
      </c>
      <c r="C289" t="s">
        <v>93</v>
      </c>
      <c r="D289" t="s">
        <v>0</v>
      </c>
      <c r="E289" t="s">
        <v>94</v>
      </c>
      <c r="F289" t="s">
        <v>95</v>
      </c>
      <c r="G289">
        <v>1</v>
      </c>
      <c r="H289">
        <v>2</v>
      </c>
      <c r="I289">
        <v>480000</v>
      </c>
      <c r="J289">
        <v>0</v>
      </c>
      <c r="K289" t="s">
        <v>334</v>
      </c>
      <c r="L289">
        <v>240</v>
      </c>
      <c r="M289">
        <v>72</v>
      </c>
      <c r="N289">
        <v>6666</v>
      </c>
      <c r="O289">
        <v>240</v>
      </c>
      <c r="P289">
        <v>72</v>
      </c>
      <c r="Q289">
        <v>6667</v>
      </c>
      <c r="R289" t="s">
        <v>208</v>
      </c>
      <c r="S289" s="40">
        <v>46074</v>
      </c>
      <c r="T289">
        <v>37.549441999999999</v>
      </c>
      <c r="U289">
        <v>126.91883199999999</v>
      </c>
      <c r="V289" t="s">
        <v>335</v>
      </c>
      <c r="W289" t="s">
        <v>336</v>
      </c>
      <c r="X289">
        <v>1</v>
      </c>
      <c r="Y289">
        <v>0</v>
      </c>
      <c r="Z289">
        <v>0</v>
      </c>
      <c r="AA289" t="s">
        <v>139</v>
      </c>
      <c r="AB289" t="s">
        <v>337</v>
      </c>
      <c r="AC289">
        <v>480000</v>
      </c>
      <c r="AD289">
        <v>0</v>
      </c>
      <c r="AE289" t="s">
        <v>101</v>
      </c>
      <c r="AF289" t="s">
        <v>115</v>
      </c>
      <c r="AG289" t="s">
        <v>116</v>
      </c>
      <c r="AH289">
        <v>472.83050481870515</v>
      </c>
      <c r="AI289" t="s">
        <v>47</v>
      </c>
      <c r="AJ289" t="s">
        <v>104</v>
      </c>
      <c r="AK289">
        <v>114.5249521721686</v>
      </c>
      <c r="AL289">
        <v>1</v>
      </c>
      <c r="AM289" s="41" t="s">
        <v>338</v>
      </c>
      <c r="AN289">
        <f t="shared" si="140"/>
        <v>25</v>
      </c>
      <c r="AO289" t="str">
        <f t="shared" si="141"/>
        <v>이상</v>
      </c>
      <c r="AP289">
        <f t="shared" si="142"/>
        <v>26</v>
      </c>
      <c r="AQ289">
        <f t="shared" si="143"/>
        <v>40</v>
      </c>
      <c r="AR289" t="str">
        <f t="shared" si="144"/>
        <v>저</v>
      </c>
      <c r="AS289">
        <f>IFERROR(ACOS(SIN(RADIANS(거래사례!$S$11))*SIN(RADIANS($T289))+COS(RADIANS(거래사례!$S$11))*COS(RADIANS($T289))*COS(RADIANS($U289-거래사례!$P$11)))*6371000,"")</f>
        <v>1468.6176484997497</v>
      </c>
      <c r="BB289" t="s">
        <v>118</v>
      </c>
      <c r="BC289">
        <v>0.6</v>
      </c>
      <c r="BD289">
        <v>0</v>
      </c>
    </row>
    <row r="290" spans="1:56">
      <c r="A290">
        <v>2608679718</v>
      </c>
      <c r="B290">
        <v>1144012000</v>
      </c>
      <c r="C290" t="s">
        <v>134</v>
      </c>
      <c r="D290" t="s">
        <v>0</v>
      </c>
      <c r="E290" t="s">
        <v>94</v>
      </c>
      <c r="F290" t="s">
        <v>244</v>
      </c>
      <c r="G290" t="s">
        <v>35</v>
      </c>
      <c r="H290">
        <v>2</v>
      </c>
      <c r="I290">
        <v>380000</v>
      </c>
      <c r="J290">
        <v>0</v>
      </c>
      <c r="K290" t="s">
        <v>344</v>
      </c>
      <c r="L290">
        <v>396</v>
      </c>
      <c r="M290">
        <v>119</v>
      </c>
      <c r="N290">
        <v>3193</v>
      </c>
      <c r="O290">
        <v>178.64</v>
      </c>
      <c r="P290">
        <v>54</v>
      </c>
      <c r="Q290">
        <v>7037</v>
      </c>
      <c r="R290" t="s">
        <v>96</v>
      </c>
      <c r="S290" s="40">
        <v>46066</v>
      </c>
      <c r="T290">
        <v>37.550941999999999</v>
      </c>
      <c r="U290">
        <v>126.913787</v>
      </c>
      <c r="V290" t="s">
        <v>246</v>
      </c>
      <c r="W290" t="s">
        <v>189</v>
      </c>
      <c r="X290">
        <v>1</v>
      </c>
      <c r="Y290">
        <v>0</v>
      </c>
      <c r="Z290">
        <v>0</v>
      </c>
      <c r="AA290" t="s">
        <v>247</v>
      </c>
      <c r="AB290" t="s">
        <v>248</v>
      </c>
      <c r="AC290">
        <v>380000</v>
      </c>
      <c r="AD290">
        <v>0</v>
      </c>
      <c r="AE290" t="s">
        <v>101</v>
      </c>
      <c r="AF290" t="s">
        <v>115</v>
      </c>
      <c r="AG290" t="s">
        <v>116</v>
      </c>
      <c r="AH290">
        <v>132.09524505029225</v>
      </c>
      <c r="AI290" t="s">
        <v>47</v>
      </c>
      <c r="AJ290" t="s">
        <v>104</v>
      </c>
      <c r="AK290">
        <v>528.49483569447079</v>
      </c>
      <c r="AL290">
        <v>1</v>
      </c>
      <c r="AM290" s="41" t="s">
        <v>178</v>
      </c>
      <c r="AN290">
        <f t="shared" si="140"/>
        <v>15</v>
      </c>
      <c r="AO290" t="str">
        <f t="shared" si="141"/>
        <v>이내</v>
      </c>
      <c r="AP290">
        <f t="shared" si="142"/>
        <v>25</v>
      </c>
      <c r="AQ290">
        <f t="shared" si="143"/>
        <v>40</v>
      </c>
      <c r="AR290" t="str">
        <f t="shared" si="144"/>
        <v>B1</v>
      </c>
      <c r="AS290">
        <f>IFERROR(ACOS(SIN(RADIANS(거래사례!$S$11))*SIN(RADIANS($T290))+COS(RADIANS(거래사례!$S$11))*COS(RADIANS($T290))*COS(RADIANS($U290-거래사례!$P$11)))*6371000,"")</f>
        <v>1675.8614531849782</v>
      </c>
      <c r="BB290" t="s">
        <v>127</v>
      </c>
      <c r="BC290">
        <v>1</v>
      </c>
      <c r="BD290">
        <v>0</v>
      </c>
    </row>
    <row r="291" spans="1:56">
      <c r="A291">
        <v>2608679718</v>
      </c>
      <c r="B291">
        <v>1144012000</v>
      </c>
      <c r="C291" t="s">
        <v>134</v>
      </c>
      <c r="D291" t="s">
        <v>0</v>
      </c>
      <c r="E291" t="s">
        <v>94</v>
      </c>
      <c r="F291" t="s">
        <v>244</v>
      </c>
      <c r="G291" t="s">
        <v>35</v>
      </c>
      <c r="H291">
        <v>2</v>
      </c>
      <c r="I291">
        <v>380000</v>
      </c>
      <c r="J291">
        <v>0</v>
      </c>
      <c r="K291" t="s">
        <v>344</v>
      </c>
      <c r="L291">
        <v>396</v>
      </c>
      <c r="M291">
        <v>119</v>
      </c>
      <c r="N291">
        <v>3193</v>
      </c>
      <c r="O291">
        <v>178.64</v>
      </c>
      <c r="P291">
        <v>54</v>
      </c>
      <c r="Q291">
        <v>7037</v>
      </c>
      <c r="R291" t="s">
        <v>96</v>
      </c>
      <c r="S291" s="40">
        <v>46066</v>
      </c>
      <c r="T291">
        <v>37.550941999999999</v>
      </c>
      <c r="U291">
        <v>126.913787</v>
      </c>
      <c r="V291" t="s">
        <v>246</v>
      </c>
      <c r="W291" t="s">
        <v>189</v>
      </c>
      <c r="X291">
        <v>1</v>
      </c>
      <c r="Y291">
        <v>0</v>
      </c>
      <c r="Z291">
        <v>0</v>
      </c>
      <c r="AA291" t="s">
        <v>247</v>
      </c>
      <c r="AB291" t="s">
        <v>248</v>
      </c>
      <c r="AC291">
        <v>380000</v>
      </c>
      <c r="AD291">
        <v>0</v>
      </c>
      <c r="AE291" t="s">
        <v>101</v>
      </c>
      <c r="AF291" t="s">
        <v>115</v>
      </c>
      <c r="AG291" t="s">
        <v>116</v>
      </c>
      <c r="AH291">
        <v>132.09524505029225</v>
      </c>
      <c r="AI291" t="s">
        <v>47</v>
      </c>
      <c r="AJ291" t="s">
        <v>104</v>
      </c>
      <c r="AK291">
        <v>528.49483569447079</v>
      </c>
      <c r="AL291">
        <v>1</v>
      </c>
      <c r="AM291" s="41" t="s">
        <v>178</v>
      </c>
      <c r="AN291">
        <f t="shared" si="140"/>
        <v>15</v>
      </c>
      <c r="AO291" t="str">
        <f t="shared" si="141"/>
        <v>이내</v>
      </c>
      <c r="AP291">
        <f t="shared" si="142"/>
        <v>25</v>
      </c>
      <c r="AQ291">
        <f t="shared" si="143"/>
        <v>40</v>
      </c>
      <c r="AR291" t="str">
        <f t="shared" si="144"/>
        <v>B1</v>
      </c>
      <c r="AS291">
        <f>IFERROR(ACOS(SIN(RADIANS(거래사례!$S$11))*SIN(RADIANS($T291))+COS(RADIANS(거래사례!$S$11))*COS(RADIANS($T291))*COS(RADIANS($U291-거래사례!$P$11)))*6371000,"")</f>
        <v>1675.8614531849782</v>
      </c>
      <c r="BB291" t="s">
        <v>35</v>
      </c>
      <c r="BD291">
        <v>0</v>
      </c>
    </row>
    <row r="292" spans="1:56" hidden="1">
      <c r="A292">
        <v>2607584269</v>
      </c>
      <c r="B292">
        <v>1141011600</v>
      </c>
      <c r="C292" t="s">
        <v>134</v>
      </c>
      <c r="D292" t="s">
        <v>0</v>
      </c>
      <c r="E292" t="s">
        <v>94</v>
      </c>
      <c r="F292" t="s">
        <v>95</v>
      </c>
      <c r="G292" t="s">
        <v>35</v>
      </c>
      <c r="H292">
        <v>15</v>
      </c>
      <c r="I292">
        <v>21000</v>
      </c>
      <c r="J292">
        <v>0</v>
      </c>
      <c r="K292" t="s">
        <v>215</v>
      </c>
      <c r="L292">
        <v>105</v>
      </c>
      <c r="M292">
        <v>31</v>
      </c>
      <c r="N292">
        <v>677</v>
      </c>
      <c r="O292">
        <v>47.56</v>
      </c>
      <c r="P292">
        <v>14</v>
      </c>
      <c r="Q292">
        <v>1500</v>
      </c>
      <c r="R292" t="s">
        <v>110</v>
      </c>
      <c r="S292" s="40">
        <v>46060</v>
      </c>
      <c r="T292">
        <v>37.556063999999999</v>
      </c>
      <c r="U292">
        <v>126.93825</v>
      </c>
      <c r="V292" t="s">
        <v>433</v>
      </c>
      <c r="W292" t="s">
        <v>434</v>
      </c>
      <c r="X292">
        <v>1</v>
      </c>
      <c r="Y292">
        <v>0</v>
      </c>
      <c r="Z292">
        <v>0</v>
      </c>
      <c r="AA292" t="s">
        <v>139</v>
      </c>
      <c r="AB292" t="s">
        <v>435</v>
      </c>
      <c r="AC292">
        <v>21000</v>
      </c>
      <c r="AD292">
        <v>0</v>
      </c>
      <c r="AE292" t="s">
        <v>101</v>
      </c>
      <c r="AF292" t="s">
        <v>436</v>
      </c>
      <c r="AG292" t="s">
        <v>437</v>
      </c>
      <c r="AH292">
        <v>172.70504045212317</v>
      </c>
      <c r="AI292" t="s">
        <v>48</v>
      </c>
      <c r="AJ292" t="s">
        <v>104</v>
      </c>
      <c r="AK292">
        <v>639.01446691631702</v>
      </c>
      <c r="AL292" t="s">
        <v>105</v>
      </c>
      <c r="AM292" s="41" t="s">
        <v>438</v>
      </c>
    </row>
    <row r="293" spans="1:56" hidden="1">
      <c r="A293">
        <v>2609184555</v>
      </c>
      <c r="B293">
        <v>1144012100</v>
      </c>
      <c r="C293" t="s">
        <v>134</v>
      </c>
      <c r="D293" t="s">
        <v>0</v>
      </c>
      <c r="E293" t="s">
        <v>94</v>
      </c>
      <c r="F293" t="s">
        <v>95</v>
      </c>
      <c r="G293" t="s">
        <v>35</v>
      </c>
      <c r="H293">
        <v>18</v>
      </c>
      <c r="I293">
        <v>12000</v>
      </c>
      <c r="J293">
        <v>0</v>
      </c>
      <c r="K293" t="s">
        <v>439</v>
      </c>
      <c r="L293">
        <v>55</v>
      </c>
      <c r="M293">
        <v>16</v>
      </c>
      <c r="N293">
        <v>750</v>
      </c>
      <c r="O293">
        <v>24.57</v>
      </c>
      <c r="P293">
        <v>7</v>
      </c>
      <c r="Q293">
        <v>1714</v>
      </c>
      <c r="R293" t="s">
        <v>145</v>
      </c>
      <c r="S293" s="40">
        <v>46072</v>
      </c>
      <c r="T293">
        <v>37.556083999999998</v>
      </c>
      <c r="U293">
        <v>126.923455</v>
      </c>
      <c r="V293" t="s">
        <v>440</v>
      </c>
      <c r="W293" t="s">
        <v>431</v>
      </c>
      <c r="X293">
        <v>2</v>
      </c>
      <c r="Y293" t="s">
        <v>439</v>
      </c>
      <c r="Z293" t="s">
        <v>439</v>
      </c>
      <c r="AA293" t="s">
        <v>113</v>
      </c>
      <c r="AB293" t="s">
        <v>432</v>
      </c>
      <c r="AC293">
        <v>12000</v>
      </c>
      <c r="AD293">
        <v>0</v>
      </c>
      <c r="AE293" t="s">
        <v>101</v>
      </c>
      <c r="AF293" t="s">
        <v>165</v>
      </c>
      <c r="AG293" t="s">
        <v>166</v>
      </c>
      <c r="AH293">
        <v>93.029525670005455</v>
      </c>
      <c r="AI293" t="s">
        <v>47</v>
      </c>
      <c r="AJ293" t="s">
        <v>104</v>
      </c>
      <c r="AK293">
        <v>837.53034349574909</v>
      </c>
      <c r="AL293" t="s">
        <v>105</v>
      </c>
      <c r="AM293" s="41" t="s">
        <v>426</v>
      </c>
      <c r="BB293" t="s">
        <v>0</v>
      </c>
    </row>
    <row r="294" spans="1:56" hidden="1">
      <c r="A294">
        <v>2608251372</v>
      </c>
      <c r="B294">
        <v>1144012100</v>
      </c>
      <c r="C294" t="s">
        <v>93</v>
      </c>
      <c r="D294" t="s">
        <v>0</v>
      </c>
      <c r="E294" t="s">
        <v>94</v>
      </c>
      <c r="F294" t="s">
        <v>119</v>
      </c>
      <c r="G294" t="s">
        <v>35</v>
      </c>
      <c r="H294">
        <v>18</v>
      </c>
      <c r="I294">
        <v>13000</v>
      </c>
      <c r="J294">
        <v>0</v>
      </c>
      <c r="K294" t="s">
        <v>441</v>
      </c>
      <c r="L294">
        <v>55</v>
      </c>
      <c r="M294">
        <v>16</v>
      </c>
      <c r="N294">
        <v>812</v>
      </c>
      <c r="O294">
        <v>24.57</v>
      </c>
      <c r="P294">
        <v>7</v>
      </c>
      <c r="Q294">
        <v>1857</v>
      </c>
      <c r="R294" t="s">
        <v>121</v>
      </c>
      <c r="S294" s="40">
        <v>46064</v>
      </c>
      <c r="T294">
        <v>37.556083999999998</v>
      </c>
      <c r="U294">
        <v>126.923455</v>
      </c>
      <c r="V294" t="s">
        <v>442</v>
      </c>
      <c r="W294" t="s">
        <v>431</v>
      </c>
      <c r="X294">
        <v>1</v>
      </c>
      <c r="Y294">
        <v>0</v>
      </c>
      <c r="Z294">
        <v>0</v>
      </c>
      <c r="AA294" t="s">
        <v>124</v>
      </c>
      <c r="AB294" t="s">
        <v>443</v>
      </c>
      <c r="AC294">
        <v>13000</v>
      </c>
      <c r="AD294">
        <v>0</v>
      </c>
      <c r="AE294" t="s">
        <v>101</v>
      </c>
      <c r="AF294" t="s">
        <v>165</v>
      </c>
      <c r="AG294" t="s">
        <v>166</v>
      </c>
      <c r="AH294">
        <v>93.029525670005455</v>
      </c>
      <c r="AI294" t="s">
        <v>47</v>
      </c>
      <c r="AJ294" t="s">
        <v>104</v>
      </c>
      <c r="AK294">
        <v>837.53034349574909</v>
      </c>
      <c r="AL294" t="s">
        <v>105</v>
      </c>
      <c r="AM294" s="41" t="s">
        <v>426</v>
      </c>
      <c r="BB294" t="s">
        <v>45</v>
      </c>
      <c r="BD294">
        <v>0</v>
      </c>
    </row>
    <row r="295" spans="1:56">
      <c r="A295">
        <v>2610502909</v>
      </c>
      <c r="B295">
        <v>1144012400</v>
      </c>
      <c r="C295" t="s">
        <v>93</v>
      </c>
      <c r="D295" t="s">
        <v>0</v>
      </c>
      <c r="E295" t="s">
        <v>94</v>
      </c>
      <c r="F295" t="s">
        <v>135</v>
      </c>
      <c r="G295">
        <v>1</v>
      </c>
      <c r="H295">
        <v>1</v>
      </c>
      <c r="I295">
        <v>550000</v>
      </c>
      <c r="J295">
        <v>0</v>
      </c>
      <c r="K295" t="s">
        <v>682</v>
      </c>
      <c r="L295">
        <v>245</v>
      </c>
      <c r="M295">
        <v>74</v>
      </c>
      <c r="N295">
        <v>7432</v>
      </c>
      <c r="O295">
        <v>245.36</v>
      </c>
      <c r="P295">
        <v>74</v>
      </c>
      <c r="Q295">
        <v>7432</v>
      </c>
      <c r="R295" t="s">
        <v>145</v>
      </c>
      <c r="S295" s="40">
        <v>46077</v>
      </c>
      <c r="T295">
        <v>37.564093999999997</v>
      </c>
      <c r="U295">
        <v>126.92479400000001</v>
      </c>
      <c r="V295" t="s">
        <v>683</v>
      </c>
      <c r="W295" t="s">
        <v>684</v>
      </c>
      <c r="X295">
        <v>1</v>
      </c>
      <c r="Y295">
        <v>0</v>
      </c>
      <c r="Z295">
        <v>0</v>
      </c>
      <c r="AA295" t="s">
        <v>139</v>
      </c>
      <c r="AB295" t="s">
        <v>255</v>
      </c>
      <c r="AC295">
        <v>550000</v>
      </c>
      <c r="AD295">
        <v>0</v>
      </c>
      <c r="AE295" t="s">
        <v>101</v>
      </c>
      <c r="AF295" t="s">
        <v>165</v>
      </c>
      <c r="AG295" t="s">
        <v>166</v>
      </c>
      <c r="AH295">
        <v>521.35558817407468</v>
      </c>
      <c r="AI295" t="s">
        <v>47</v>
      </c>
      <c r="AJ295" t="s">
        <v>104</v>
      </c>
      <c r="AK295">
        <v>868.42381071688226</v>
      </c>
      <c r="AL295" t="s">
        <v>105</v>
      </c>
      <c r="AM295" s="41" t="s">
        <v>685</v>
      </c>
      <c r="AN295">
        <f>IFERROR(VALUE(LEFT($W295,FIND("년",$W295)-1)),"")</f>
        <v>25</v>
      </c>
      <c r="AO295" t="str">
        <f>IFERROR(IF(FIND("년",$W295)=3,MID($W295,FIND("년",$W295)+1,FIND("년",$W295)-1),MID($W295,FIND("년",$W295)+1,FIND("년",$W295))),"")</f>
        <v>이상</v>
      </c>
      <c r="AP295">
        <f>IFERROR(IF($AN295&lt;11,10,IF(AND($AN295&lt;26,$AO295="이내"),25,26)),"")</f>
        <v>26</v>
      </c>
      <c r="AQ295">
        <f>IFERROR(IF($P295&lt;10,9,IF($P295&lt;20,10,IF($P295&lt;30,20,IF($P295&lt;40,30,40)))),"")</f>
        <v>40</v>
      </c>
      <c r="AR295" t="str">
        <f>IFERROR(IF($D295="상가",IF($G295="1","1층",IF($G295="전체층","전체층",IF(LEFT($G295,1)="B","B1",IF($G295&lt;6,"저",IF($G295/$H295&lt;=$BC$9,"저",IF($G295/$H295&lt;=$BC$10,"중","고")))))),IF(LEFT($G295,1)="B","B1",IF($H295&lt;6,"저",IF($G295/$H295&lt;=$BC$2,"저",IF($G295/$H295&lt;=$BC$3,"중","고"))))),"")</f>
        <v>저</v>
      </c>
      <c r="AS295">
        <f>IFERROR(ACOS(SIN(RADIANS(거래사례!$S$11))*SIN(RADIANS($T295))+COS(RADIANS(거래사례!$S$11))*COS(RADIANS($T295))*COS(RADIANS($U295-거래사례!$P$11)))*6371000,"")</f>
        <v>613.55978755349929</v>
      </c>
      <c r="BB295" t="s">
        <v>107</v>
      </c>
      <c r="BC295">
        <v>0.4</v>
      </c>
      <c r="BD295">
        <v>0</v>
      </c>
    </row>
    <row r="296" spans="1:56" hidden="1">
      <c r="A296">
        <v>2611016121</v>
      </c>
      <c r="B296">
        <v>1144011000</v>
      </c>
      <c r="C296" t="s">
        <v>93</v>
      </c>
      <c r="D296" t="s">
        <v>0</v>
      </c>
      <c r="E296" t="s">
        <v>94</v>
      </c>
      <c r="F296" t="s">
        <v>119</v>
      </c>
      <c r="G296">
        <v>3</v>
      </c>
      <c r="H296">
        <v>15</v>
      </c>
      <c r="I296">
        <v>30000</v>
      </c>
      <c r="J296">
        <v>0</v>
      </c>
      <c r="K296" t="s">
        <v>183</v>
      </c>
      <c r="L296">
        <v>99</v>
      </c>
      <c r="M296">
        <v>29</v>
      </c>
      <c r="N296">
        <v>1034</v>
      </c>
      <c r="O296">
        <v>52.63</v>
      </c>
      <c r="P296">
        <v>15</v>
      </c>
      <c r="Q296">
        <v>2000</v>
      </c>
      <c r="R296" t="s">
        <v>208</v>
      </c>
      <c r="S296" s="40">
        <v>46080</v>
      </c>
      <c r="T296">
        <v>37.554876999999998</v>
      </c>
      <c r="U296">
        <v>126.93539699999999</v>
      </c>
      <c r="V296" t="s">
        <v>449</v>
      </c>
      <c r="W296" t="s">
        <v>450</v>
      </c>
      <c r="X296">
        <v>1</v>
      </c>
      <c r="Y296">
        <v>0</v>
      </c>
      <c r="Z296">
        <v>0</v>
      </c>
      <c r="AA296" t="s">
        <v>124</v>
      </c>
      <c r="AB296" t="s">
        <v>451</v>
      </c>
      <c r="AC296">
        <v>30000</v>
      </c>
      <c r="AD296">
        <v>0</v>
      </c>
      <c r="AE296" t="s">
        <v>101</v>
      </c>
      <c r="AF296" t="s">
        <v>436</v>
      </c>
      <c r="AG296" t="s">
        <v>437</v>
      </c>
      <c r="AH296">
        <v>242.00396386017903</v>
      </c>
      <c r="AI296" t="s">
        <v>47</v>
      </c>
      <c r="AJ296" t="s">
        <v>104</v>
      </c>
      <c r="AK296">
        <v>981.71582045568869</v>
      </c>
      <c r="AL296" t="s">
        <v>105</v>
      </c>
      <c r="AM296" s="41" t="s">
        <v>452</v>
      </c>
      <c r="BB296" t="s">
        <v>118</v>
      </c>
      <c r="BC296">
        <v>0.7</v>
      </c>
      <c r="BD296">
        <v>0</v>
      </c>
    </row>
    <row r="297" spans="1:56" hidden="1">
      <c r="A297">
        <v>2608330201</v>
      </c>
      <c r="B297">
        <v>1141011600</v>
      </c>
      <c r="C297" t="s">
        <v>134</v>
      </c>
      <c r="D297" t="s">
        <v>0</v>
      </c>
      <c r="E297" t="s">
        <v>94</v>
      </c>
      <c r="F297" t="s">
        <v>244</v>
      </c>
      <c r="G297" t="s">
        <v>35</v>
      </c>
      <c r="H297">
        <v>15</v>
      </c>
      <c r="I297">
        <v>7000</v>
      </c>
      <c r="J297">
        <v>0</v>
      </c>
      <c r="K297" s="39">
        <v>7000</v>
      </c>
      <c r="L297">
        <v>28</v>
      </c>
      <c r="M297">
        <v>8</v>
      </c>
      <c r="N297">
        <v>875</v>
      </c>
      <c r="O297">
        <v>12.73</v>
      </c>
      <c r="P297">
        <v>3</v>
      </c>
      <c r="Q297">
        <v>2333</v>
      </c>
      <c r="R297" t="s">
        <v>208</v>
      </c>
      <c r="S297" s="40">
        <v>46065</v>
      </c>
      <c r="T297">
        <v>37.556063999999999</v>
      </c>
      <c r="U297">
        <v>126.93825</v>
      </c>
      <c r="V297" t="s">
        <v>453</v>
      </c>
      <c r="W297" t="s">
        <v>123</v>
      </c>
      <c r="X297">
        <v>1</v>
      </c>
      <c r="Y297">
        <v>0</v>
      </c>
      <c r="Z297">
        <v>0</v>
      </c>
      <c r="AA297" t="s">
        <v>176</v>
      </c>
      <c r="AB297" t="s">
        <v>454</v>
      </c>
      <c r="AC297">
        <v>7000</v>
      </c>
      <c r="AD297">
        <v>0</v>
      </c>
      <c r="AE297" t="s">
        <v>101</v>
      </c>
      <c r="AF297" t="s">
        <v>436</v>
      </c>
      <c r="AG297" t="s">
        <v>437</v>
      </c>
      <c r="AH297">
        <v>172.70504045212317</v>
      </c>
      <c r="AI297" t="s">
        <v>48</v>
      </c>
      <c r="AJ297" t="s">
        <v>104</v>
      </c>
      <c r="AK297">
        <v>639.01446691631702</v>
      </c>
      <c r="AL297" t="s">
        <v>105</v>
      </c>
      <c r="AM297" s="41" t="s">
        <v>438</v>
      </c>
      <c r="BB297" t="s">
        <v>127</v>
      </c>
      <c r="BC297">
        <v>1</v>
      </c>
      <c r="BD297">
        <v>0</v>
      </c>
    </row>
    <row r="298" spans="1:56" hidden="1">
      <c r="A298">
        <v>2607345842</v>
      </c>
      <c r="B298">
        <v>1144011000</v>
      </c>
      <c r="C298" t="s">
        <v>211</v>
      </c>
      <c r="D298" t="s">
        <v>0</v>
      </c>
      <c r="E298" t="s">
        <v>94</v>
      </c>
      <c r="F298" t="s">
        <v>95</v>
      </c>
      <c r="G298">
        <v>1</v>
      </c>
      <c r="H298">
        <v>15</v>
      </c>
      <c r="I298">
        <v>9900</v>
      </c>
      <c r="J298">
        <v>0</v>
      </c>
      <c r="K298" s="39">
        <v>9900</v>
      </c>
      <c r="L298">
        <v>28</v>
      </c>
      <c r="M298">
        <v>8</v>
      </c>
      <c r="N298">
        <v>1237</v>
      </c>
      <c r="O298">
        <v>14.05</v>
      </c>
      <c r="P298">
        <v>4</v>
      </c>
      <c r="Q298">
        <v>2475</v>
      </c>
      <c r="R298" t="s">
        <v>154</v>
      </c>
      <c r="S298" s="40">
        <v>46059</v>
      </c>
      <c r="T298">
        <v>37.554876999999998</v>
      </c>
      <c r="U298">
        <v>126.93539699999999</v>
      </c>
      <c r="V298" t="s">
        <v>455</v>
      </c>
      <c r="W298" t="s">
        <v>456</v>
      </c>
      <c r="X298">
        <v>1</v>
      </c>
      <c r="Y298">
        <v>0</v>
      </c>
      <c r="Z298">
        <v>0</v>
      </c>
      <c r="AA298" t="s">
        <v>99</v>
      </c>
      <c r="AB298" t="s">
        <v>451</v>
      </c>
      <c r="AC298">
        <v>9900</v>
      </c>
      <c r="AD298">
        <v>0</v>
      </c>
      <c r="AE298" t="s">
        <v>101</v>
      </c>
      <c r="AF298" t="s">
        <v>436</v>
      </c>
      <c r="AG298" t="s">
        <v>437</v>
      </c>
      <c r="AH298">
        <v>242.00396386017903</v>
      </c>
      <c r="AI298" t="s">
        <v>47</v>
      </c>
      <c r="AJ298" t="s">
        <v>104</v>
      </c>
      <c r="AK298">
        <v>981.71582045568869</v>
      </c>
      <c r="AL298" t="s">
        <v>105</v>
      </c>
      <c r="AM298" s="41" t="s">
        <v>452</v>
      </c>
      <c r="BB298" t="s">
        <v>35</v>
      </c>
      <c r="BD298">
        <v>0</v>
      </c>
    </row>
    <row r="299" spans="1:56">
      <c r="A299">
        <v>2607776470</v>
      </c>
      <c r="B299">
        <v>1144012400</v>
      </c>
      <c r="C299" t="s">
        <v>93</v>
      </c>
      <c r="D299" t="s">
        <v>0</v>
      </c>
      <c r="E299" t="s">
        <v>94</v>
      </c>
      <c r="F299" t="s">
        <v>95</v>
      </c>
      <c r="G299">
        <v>1</v>
      </c>
      <c r="H299">
        <v>1</v>
      </c>
      <c r="I299">
        <v>550000</v>
      </c>
      <c r="J299">
        <v>0</v>
      </c>
      <c r="K299" t="s">
        <v>682</v>
      </c>
      <c r="L299">
        <v>245</v>
      </c>
      <c r="M299">
        <v>74</v>
      </c>
      <c r="N299">
        <v>7432</v>
      </c>
      <c r="O299">
        <v>245.36</v>
      </c>
      <c r="P299">
        <v>74</v>
      </c>
      <c r="Q299">
        <v>7432</v>
      </c>
      <c r="R299" t="s">
        <v>96</v>
      </c>
      <c r="S299" s="40">
        <v>46062</v>
      </c>
      <c r="T299">
        <v>37.564093</v>
      </c>
      <c r="U299">
        <v>126.92479400000001</v>
      </c>
      <c r="V299" t="s">
        <v>686</v>
      </c>
      <c r="W299" t="s">
        <v>687</v>
      </c>
      <c r="X299">
        <v>1</v>
      </c>
      <c r="Y299">
        <v>0</v>
      </c>
      <c r="Z299">
        <v>0</v>
      </c>
      <c r="AA299" t="s">
        <v>113</v>
      </c>
      <c r="AB299" t="s">
        <v>688</v>
      </c>
      <c r="AC299">
        <v>550000</v>
      </c>
      <c r="AD299">
        <v>0</v>
      </c>
      <c r="AE299" t="s">
        <v>101</v>
      </c>
      <c r="AF299" t="s">
        <v>165</v>
      </c>
      <c r="AG299" t="s">
        <v>166</v>
      </c>
      <c r="AH299">
        <v>521.24428717833291</v>
      </c>
      <c r="AI299" t="s">
        <v>47</v>
      </c>
      <c r="AJ299" t="s">
        <v>104</v>
      </c>
      <c r="AK299">
        <v>868.48482355715214</v>
      </c>
      <c r="AL299" t="s">
        <v>105</v>
      </c>
      <c r="AM299" s="41" t="s">
        <v>685</v>
      </c>
      <c r="AN299">
        <f t="shared" ref="AN299:AN301" si="145">IFERROR(VALUE(LEFT($W299,FIND("년",$W299)-1)),"")</f>
        <v>25</v>
      </c>
      <c r="AO299" t="str">
        <f t="shared" ref="AO299:AO301" si="146">IFERROR(IF(FIND("년",$W299)=3,MID($W299,FIND("년",$W299)+1,FIND("년",$W299)-1),MID($W299,FIND("년",$W299)+1,FIND("년",$W299))),"")</f>
        <v>이상</v>
      </c>
      <c r="AP299">
        <f t="shared" ref="AP299:AP301" si="147">IFERROR(IF($AN299&lt;11,10,IF(AND($AN299&lt;26,$AO299="이내"),25,26)),"")</f>
        <v>26</v>
      </c>
      <c r="AQ299">
        <f t="shared" ref="AQ299:AQ301" si="148">IFERROR(IF($P299&lt;10,9,IF($P299&lt;20,10,IF($P299&lt;30,20,IF($P299&lt;40,30,40)))),"")</f>
        <v>40</v>
      </c>
      <c r="AR299" t="str">
        <f t="shared" ref="AR299:AR301" si="149">IFERROR(IF($D299="상가",IF($G299="1","1층",IF($G299="전체층","전체층",IF(LEFT($G299,1)="B","B1",IF($G299&lt;6,"저",IF($G299/$H299&lt;=$BC$9,"저",IF($G299/$H299&lt;=$BC$10,"중","고")))))),IF(LEFT($G299,1)="B","B1",IF($H299&lt;6,"저",IF($G299/$H299&lt;=$BC$2,"저",IF($G299/$H299&lt;=$BC$3,"중","고"))))),"")</f>
        <v>저</v>
      </c>
      <c r="AS299">
        <f>IFERROR(ACOS(SIN(RADIANS(거래사례!$S$11))*SIN(RADIANS($T299))+COS(RADIANS(거래사례!$S$11))*COS(RADIANS($T299))*COS(RADIANS($U299-거래사례!$P$11)))*6371000,"")</f>
        <v>613.47328402066046</v>
      </c>
      <c r="BB299" t="s">
        <v>44</v>
      </c>
      <c r="BD299">
        <v>0</v>
      </c>
    </row>
    <row r="300" spans="1:56">
      <c r="A300">
        <v>2609255106</v>
      </c>
      <c r="B300">
        <v>1144012200</v>
      </c>
      <c r="C300" t="s">
        <v>134</v>
      </c>
      <c r="D300" t="s">
        <v>0</v>
      </c>
      <c r="E300" t="s">
        <v>94</v>
      </c>
      <c r="F300" t="s">
        <v>95</v>
      </c>
      <c r="G300">
        <v>1</v>
      </c>
      <c r="H300">
        <v>36</v>
      </c>
      <c r="I300">
        <v>200000</v>
      </c>
      <c r="J300">
        <v>0</v>
      </c>
      <c r="K300" t="s">
        <v>349</v>
      </c>
      <c r="L300">
        <v>266</v>
      </c>
      <c r="M300">
        <v>80</v>
      </c>
      <c r="N300">
        <v>2500</v>
      </c>
      <c r="O300">
        <v>88.42</v>
      </c>
      <c r="P300">
        <v>26</v>
      </c>
      <c r="Q300">
        <v>7692</v>
      </c>
      <c r="R300" t="s">
        <v>110</v>
      </c>
      <c r="S300" s="40">
        <v>46072</v>
      </c>
      <c r="T300">
        <v>37.551057</v>
      </c>
      <c r="U300">
        <v>126.911867</v>
      </c>
      <c r="V300" t="s">
        <v>305</v>
      </c>
      <c r="W300" t="s">
        <v>350</v>
      </c>
      <c r="X300">
        <v>1</v>
      </c>
      <c r="Y300">
        <v>0</v>
      </c>
      <c r="Z300">
        <v>0</v>
      </c>
      <c r="AA300" t="s">
        <v>139</v>
      </c>
      <c r="AB300" t="s">
        <v>140</v>
      </c>
      <c r="AC300">
        <v>200000</v>
      </c>
      <c r="AD300">
        <v>0</v>
      </c>
      <c r="AE300" t="s">
        <v>101</v>
      </c>
      <c r="AF300" t="s">
        <v>115</v>
      </c>
      <c r="AG300" t="s">
        <v>116</v>
      </c>
      <c r="AH300">
        <v>248.53865605694642</v>
      </c>
      <c r="AI300" t="s">
        <v>47</v>
      </c>
      <c r="AJ300" t="s">
        <v>104</v>
      </c>
      <c r="AK300">
        <v>742.41426284908061</v>
      </c>
      <c r="AL300" t="s">
        <v>105</v>
      </c>
      <c r="AM300" s="41" t="s">
        <v>150</v>
      </c>
      <c r="AN300">
        <f t="shared" si="145"/>
        <v>10</v>
      </c>
      <c r="AO300" t="str">
        <f t="shared" si="146"/>
        <v>이내</v>
      </c>
      <c r="AP300">
        <f t="shared" si="147"/>
        <v>10</v>
      </c>
      <c r="AQ300">
        <f t="shared" si="148"/>
        <v>20</v>
      </c>
      <c r="AR300" t="str">
        <f t="shared" si="149"/>
        <v>저</v>
      </c>
      <c r="AS300">
        <f>IFERROR(ACOS(SIN(RADIANS(거래사례!$S$11))*SIN(RADIANS($T300))+COS(RADIANS(거래사례!$S$11))*COS(RADIANS($T300))*COS(RADIANS($U300-거래사례!$P$11)))*6371000,"")</f>
        <v>1808.6065497056816</v>
      </c>
    </row>
    <row r="301" spans="1:56">
      <c r="A301">
        <v>2609255106</v>
      </c>
      <c r="B301">
        <v>1144012200</v>
      </c>
      <c r="C301" t="s">
        <v>134</v>
      </c>
      <c r="D301" t="s">
        <v>0</v>
      </c>
      <c r="E301" t="s">
        <v>94</v>
      </c>
      <c r="F301" t="s">
        <v>95</v>
      </c>
      <c r="G301">
        <v>1</v>
      </c>
      <c r="H301">
        <v>36</v>
      </c>
      <c r="I301">
        <v>200000</v>
      </c>
      <c r="J301">
        <v>0</v>
      </c>
      <c r="K301" t="s">
        <v>349</v>
      </c>
      <c r="L301">
        <v>266</v>
      </c>
      <c r="M301">
        <v>80</v>
      </c>
      <c r="N301">
        <v>2500</v>
      </c>
      <c r="O301">
        <v>88.42</v>
      </c>
      <c r="P301">
        <v>26</v>
      </c>
      <c r="Q301">
        <v>7692</v>
      </c>
      <c r="R301" t="s">
        <v>110</v>
      </c>
      <c r="S301" s="40">
        <v>46072</v>
      </c>
      <c r="T301">
        <v>37.551057</v>
      </c>
      <c r="U301">
        <v>126.911867</v>
      </c>
      <c r="V301" t="s">
        <v>305</v>
      </c>
      <c r="W301" t="s">
        <v>350</v>
      </c>
      <c r="X301">
        <v>1</v>
      </c>
      <c r="Y301">
        <v>0</v>
      </c>
      <c r="Z301">
        <v>0</v>
      </c>
      <c r="AA301" t="s">
        <v>139</v>
      </c>
      <c r="AB301" t="s">
        <v>140</v>
      </c>
      <c r="AC301">
        <v>200000</v>
      </c>
      <c r="AD301">
        <v>0</v>
      </c>
      <c r="AE301" t="s">
        <v>101</v>
      </c>
      <c r="AF301" t="s">
        <v>115</v>
      </c>
      <c r="AG301" t="s">
        <v>116</v>
      </c>
      <c r="AH301">
        <v>248.53865605694642</v>
      </c>
      <c r="AI301" t="s">
        <v>47</v>
      </c>
      <c r="AJ301" t="s">
        <v>104</v>
      </c>
      <c r="AK301">
        <v>742.41426284908061</v>
      </c>
      <c r="AL301" t="s">
        <v>105</v>
      </c>
      <c r="AM301" s="41" t="s">
        <v>150</v>
      </c>
      <c r="AN301">
        <f t="shared" si="145"/>
        <v>10</v>
      </c>
      <c r="AO301" t="str">
        <f t="shared" si="146"/>
        <v>이내</v>
      </c>
      <c r="AP301">
        <f t="shared" si="147"/>
        <v>10</v>
      </c>
      <c r="AQ301">
        <f t="shared" si="148"/>
        <v>20</v>
      </c>
      <c r="AR301" t="str">
        <f t="shared" si="149"/>
        <v>저</v>
      </c>
      <c r="AS301">
        <f>IFERROR(ACOS(SIN(RADIANS(거래사례!$S$11))*SIN(RADIANS($T301))+COS(RADIANS(거래사례!$S$11))*COS(RADIANS($T301))*COS(RADIANS($U301-거래사례!$P$11)))*6371000,"")</f>
        <v>1808.6065497056816</v>
      </c>
    </row>
    <row r="302" spans="1:56" hidden="1">
      <c r="A302">
        <v>2610024670</v>
      </c>
      <c r="B302">
        <v>1144012100</v>
      </c>
      <c r="C302" t="s">
        <v>134</v>
      </c>
      <c r="D302" t="s">
        <v>0</v>
      </c>
      <c r="E302" t="s">
        <v>94</v>
      </c>
      <c r="F302" t="s">
        <v>95</v>
      </c>
      <c r="G302" t="s">
        <v>35</v>
      </c>
      <c r="H302">
        <v>18</v>
      </c>
      <c r="I302">
        <v>18500</v>
      </c>
      <c r="J302">
        <v>0</v>
      </c>
      <c r="K302" t="s">
        <v>141</v>
      </c>
      <c r="L302">
        <v>55</v>
      </c>
      <c r="M302">
        <v>16</v>
      </c>
      <c r="N302">
        <v>1156</v>
      </c>
      <c r="O302">
        <v>24.57</v>
      </c>
      <c r="P302">
        <v>7</v>
      </c>
      <c r="Q302">
        <v>2643</v>
      </c>
      <c r="R302" t="s">
        <v>161</v>
      </c>
      <c r="S302" s="40">
        <v>46076</v>
      </c>
      <c r="T302">
        <v>37.556083999999998</v>
      </c>
      <c r="U302">
        <v>126.923455</v>
      </c>
      <c r="V302" t="s">
        <v>467</v>
      </c>
      <c r="W302" t="s">
        <v>425</v>
      </c>
      <c r="X302">
        <v>1</v>
      </c>
      <c r="Y302">
        <v>0</v>
      </c>
      <c r="Z302">
        <v>0</v>
      </c>
      <c r="AA302" t="s">
        <v>113</v>
      </c>
      <c r="AB302" t="s">
        <v>432</v>
      </c>
      <c r="AC302">
        <v>18500</v>
      </c>
      <c r="AD302">
        <v>0</v>
      </c>
      <c r="AE302" t="s">
        <v>101</v>
      </c>
      <c r="AF302" t="s">
        <v>165</v>
      </c>
      <c r="AG302" t="s">
        <v>166</v>
      </c>
      <c r="AH302">
        <v>93.029525670005455</v>
      </c>
      <c r="AI302" t="s">
        <v>47</v>
      </c>
      <c r="AJ302" t="s">
        <v>104</v>
      </c>
      <c r="AK302">
        <v>837.53034349574909</v>
      </c>
      <c r="AL302" t="s">
        <v>105</v>
      </c>
      <c r="AM302" s="41" t="s">
        <v>426</v>
      </c>
    </row>
    <row r="303" spans="1:56" hidden="1">
      <c r="A303">
        <v>2609438757</v>
      </c>
      <c r="B303">
        <v>1144012000</v>
      </c>
      <c r="C303" t="s">
        <v>134</v>
      </c>
      <c r="D303" t="s">
        <v>0</v>
      </c>
      <c r="E303" t="s">
        <v>94</v>
      </c>
      <c r="F303" t="s">
        <v>95</v>
      </c>
      <c r="G303">
        <v>1</v>
      </c>
      <c r="H303">
        <v>19</v>
      </c>
      <c r="I303">
        <v>16000</v>
      </c>
      <c r="J303">
        <v>0</v>
      </c>
      <c r="K303" t="s">
        <v>109</v>
      </c>
      <c r="L303">
        <v>21</v>
      </c>
      <c r="M303">
        <v>6</v>
      </c>
      <c r="N303">
        <v>2666</v>
      </c>
      <c r="O303">
        <v>21.74</v>
      </c>
      <c r="P303">
        <v>6</v>
      </c>
      <c r="Q303">
        <v>2667</v>
      </c>
      <c r="R303" t="s">
        <v>161</v>
      </c>
      <c r="S303" s="40">
        <v>46073</v>
      </c>
      <c r="T303">
        <v>37.553798999999998</v>
      </c>
      <c r="U303">
        <v>126.92370099999999</v>
      </c>
      <c r="V303" t="s">
        <v>162</v>
      </c>
      <c r="W303" t="s">
        <v>163</v>
      </c>
      <c r="X303">
        <v>1</v>
      </c>
      <c r="Y303">
        <v>0</v>
      </c>
      <c r="Z303">
        <v>0</v>
      </c>
      <c r="AA303" t="s">
        <v>139</v>
      </c>
      <c r="AB303" t="s">
        <v>164</v>
      </c>
      <c r="AC303">
        <v>16000</v>
      </c>
      <c r="AD303">
        <v>0</v>
      </c>
      <c r="AE303" t="s">
        <v>101</v>
      </c>
      <c r="AF303" t="s">
        <v>165</v>
      </c>
      <c r="AG303" t="s">
        <v>166</v>
      </c>
      <c r="AH303">
        <v>344.14694489895248</v>
      </c>
      <c r="AI303" t="s">
        <v>47</v>
      </c>
      <c r="AJ303" t="s">
        <v>104</v>
      </c>
      <c r="AK303">
        <v>690.06417067304881</v>
      </c>
      <c r="AL303" t="s">
        <v>105</v>
      </c>
      <c r="AM303" s="41" t="s">
        <v>167</v>
      </c>
    </row>
    <row r="304" spans="1:56" hidden="1">
      <c r="A304">
        <v>2610266245</v>
      </c>
      <c r="B304">
        <v>1144012000</v>
      </c>
      <c r="C304" t="s">
        <v>134</v>
      </c>
      <c r="D304" t="s">
        <v>0</v>
      </c>
      <c r="E304" t="s">
        <v>94</v>
      </c>
      <c r="F304" t="s">
        <v>135</v>
      </c>
      <c r="G304">
        <v>1</v>
      </c>
      <c r="H304">
        <v>12</v>
      </c>
      <c r="I304">
        <v>25000</v>
      </c>
      <c r="J304">
        <v>0</v>
      </c>
      <c r="K304" t="s">
        <v>468</v>
      </c>
      <c r="L304">
        <v>45</v>
      </c>
      <c r="M304">
        <v>13</v>
      </c>
      <c r="N304">
        <v>1923</v>
      </c>
      <c r="O304">
        <v>30.41</v>
      </c>
      <c r="P304">
        <v>9</v>
      </c>
      <c r="Q304">
        <v>2778</v>
      </c>
      <c r="R304" t="s">
        <v>110</v>
      </c>
      <c r="S304" s="40">
        <v>46077</v>
      </c>
      <c r="T304">
        <v>37.557372999999998</v>
      </c>
      <c r="U304">
        <v>126.916798</v>
      </c>
      <c r="V304" t="s">
        <v>469</v>
      </c>
      <c r="W304" t="s">
        <v>470</v>
      </c>
      <c r="X304">
        <v>2</v>
      </c>
      <c r="Y304" t="s">
        <v>468</v>
      </c>
      <c r="Z304" t="s">
        <v>468</v>
      </c>
      <c r="AA304" t="s">
        <v>139</v>
      </c>
      <c r="AB304" t="s">
        <v>471</v>
      </c>
      <c r="AC304">
        <v>25000</v>
      </c>
      <c r="AD304">
        <v>0</v>
      </c>
      <c r="AE304" t="s">
        <v>101</v>
      </c>
      <c r="AF304" t="s">
        <v>102</v>
      </c>
      <c r="AG304" t="s">
        <v>103</v>
      </c>
      <c r="AH304">
        <v>767.08573569644557</v>
      </c>
      <c r="AI304" t="s">
        <v>47</v>
      </c>
      <c r="AJ304" t="s">
        <v>104</v>
      </c>
      <c r="AK304">
        <v>797.26044038606585</v>
      </c>
      <c r="AL304" t="s">
        <v>105</v>
      </c>
      <c r="AM304" s="41" t="s">
        <v>472</v>
      </c>
    </row>
    <row r="305" spans="1:45" hidden="1">
      <c r="A305">
        <v>2609288825</v>
      </c>
      <c r="B305">
        <v>1144012000</v>
      </c>
      <c r="C305" t="s">
        <v>134</v>
      </c>
      <c r="D305" t="s">
        <v>0</v>
      </c>
      <c r="E305" t="s">
        <v>94</v>
      </c>
      <c r="F305" t="s">
        <v>95</v>
      </c>
      <c r="G305" t="s">
        <v>35</v>
      </c>
      <c r="H305">
        <v>18</v>
      </c>
      <c r="I305">
        <v>34000</v>
      </c>
      <c r="J305">
        <v>0</v>
      </c>
      <c r="K305" t="s">
        <v>179</v>
      </c>
      <c r="L305">
        <v>41</v>
      </c>
      <c r="M305">
        <v>12</v>
      </c>
      <c r="N305">
        <v>2833</v>
      </c>
      <c r="O305">
        <v>41.84</v>
      </c>
      <c r="P305">
        <v>12</v>
      </c>
      <c r="Q305">
        <v>2833</v>
      </c>
      <c r="R305" t="s">
        <v>161</v>
      </c>
      <c r="S305" s="40">
        <v>46072</v>
      </c>
      <c r="T305">
        <v>37.553798999999998</v>
      </c>
      <c r="U305">
        <v>126.92370099999999</v>
      </c>
      <c r="V305" t="s">
        <v>180</v>
      </c>
      <c r="W305" t="s">
        <v>181</v>
      </c>
      <c r="X305">
        <v>1</v>
      </c>
      <c r="Y305">
        <v>0</v>
      </c>
      <c r="Z305">
        <v>0</v>
      </c>
      <c r="AA305" t="s">
        <v>139</v>
      </c>
      <c r="AB305" t="s">
        <v>182</v>
      </c>
      <c r="AC305">
        <v>34000</v>
      </c>
      <c r="AD305">
        <v>0</v>
      </c>
      <c r="AE305" t="s">
        <v>101</v>
      </c>
      <c r="AF305" t="s">
        <v>165</v>
      </c>
      <c r="AG305" t="s">
        <v>166</v>
      </c>
      <c r="AH305">
        <v>344.14694489895248</v>
      </c>
      <c r="AI305" t="s">
        <v>47</v>
      </c>
      <c r="AJ305" t="s">
        <v>104</v>
      </c>
      <c r="AK305">
        <v>690.06417067304881</v>
      </c>
      <c r="AL305" t="s">
        <v>105</v>
      </c>
      <c r="AM305" s="41" t="s">
        <v>167</v>
      </c>
    </row>
    <row r="306" spans="1:45" hidden="1">
      <c r="A306">
        <v>2606896804</v>
      </c>
      <c r="B306">
        <v>1144012000</v>
      </c>
      <c r="C306" t="s">
        <v>134</v>
      </c>
      <c r="D306" t="s">
        <v>0</v>
      </c>
      <c r="E306" t="s">
        <v>94</v>
      </c>
      <c r="F306" t="s">
        <v>95</v>
      </c>
      <c r="G306">
        <v>1</v>
      </c>
      <c r="H306">
        <v>19</v>
      </c>
      <c r="I306">
        <v>30000</v>
      </c>
      <c r="J306">
        <v>0</v>
      </c>
      <c r="K306" t="s">
        <v>183</v>
      </c>
      <c r="L306">
        <v>34</v>
      </c>
      <c r="M306">
        <v>10</v>
      </c>
      <c r="N306">
        <v>3000</v>
      </c>
      <c r="O306">
        <v>34.340000000000003</v>
      </c>
      <c r="P306">
        <v>10</v>
      </c>
      <c r="Q306">
        <v>3000</v>
      </c>
      <c r="R306" t="s">
        <v>161</v>
      </c>
      <c r="S306" s="40">
        <v>46057</v>
      </c>
      <c r="T306">
        <v>37.553798999999998</v>
      </c>
      <c r="U306">
        <v>126.92370099999999</v>
      </c>
      <c r="V306" t="s">
        <v>184</v>
      </c>
      <c r="W306" t="s">
        <v>185</v>
      </c>
      <c r="X306">
        <v>1</v>
      </c>
      <c r="Y306">
        <v>0</v>
      </c>
      <c r="Z306">
        <v>0</v>
      </c>
      <c r="AA306" t="s">
        <v>139</v>
      </c>
      <c r="AB306" t="s">
        <v>186</v>
      </c>
      <c r="AC306">
        <v>30000</v>
      </c>
      <c r="AD306">
        <v>0</v>
      </c>
      <c r="AE306" t="s">
        <v>101</v>
      </c>
      <c r="AF306" t="s">
        <v>165</v>
      </c>
      <c r="AG306" t="s">
        <v>166</v>
      </c>
      <c r="AH306">
        <v>344.14694489895248</v>
      </c>
      <c r="AI306" t="s">
        <v>47</v>
      </c>
      <c r="AJ306" t="s">
        <v>104</v>
      </c>
      <c r="AK306">
        <v>690.06417067304881</v>
      </c>
      <c r="AL306" t="s">
        <v>105</v>
      </c>
      <c r="AM306" s="41" t="s">
        <v>167</v>
      </c>
    </row>
    <row r="307" spans="1:45" hidden="1">
      <c r="A307">
        <v>2609638071</v>
      </c>
      <c r="B307">
        <v>1144012100</v>
      </c>
      <c r="C307" t="s">
        <v>93</v>
      </c>
      <c r="D307" t="s">
        <v>0</v>
      </c>
      <c r="E307" t="s">
        <v>94</v>
      </c>
      <c r="F307" t="s">
        <v>95</v>
      </c>
      <c r="G307">
        <v>3</v>
      </c>
      <c r="H307">
        <v>7</v>
      </c>
      <c r="I307">
        <v>40000</v>
      </c>
      <c r="J307">
        <v>0</v>
      </c>
      <c r="K307" t="s">
        <v>444</v>
      </c>
      <c r="L307">
        <v>68</v>
      </c>
      <c r="M307">
        <v>20</v>
      </c>
      <c r="N307">
        <v>2000</v>
      </c>
      <c r="O307">
        <v>43.51</v>
      </c>
      <c r="P307">
        <v>13</v>
      </c>
      <c r="Q307">
        <v>3077</v>
      </c>
      <c r="R307" t="s">
        <v>96</v>
      </c>
      <c r="S307" s="40">
        <v>46073</v>
      </c>
      <c r="T307">
        <v>37.556184999999999</v>
      </c>
      <c r="U307">
        <v>126.932214</v>
      </c>
      <c r="V307" t="s">
        <v>473</v>
      </c>
      <c r="W307" t="s">
        <v>474</v>
      </c>
      <c r="X307">
        <v>1</v>
      </c>
      <c r="Y307">
        <v>0</v>
      </c>
      <c r="Z307">
        <v>0</v>
      </c>
      <c r="AA307" t="s">
        <v>113</v>
      </c>
      <c r="AB307" t="s">
        <v>429</v>
      </c>
      <c r="AC307">
        <v>40000</v>
      </c>
      <c r="AD307">
        <v>0</v>
      </c>
      <c r="AE307" t="s">
        <v>101</v>
      </c>
      <c r="AF307" t="s">
        <v>475</v>
      </c>
      <c r="AG307" t="s">
        <v>476</v>
      </c>
      <c r="AH307">
        <v>557.27703901342352</v>
      </c>
      <c r="AI307" t="s">
        <v>47</v>
      </c>
      <c r="AJ307" t="s">
        <v>104</v>
      </c>
      <c r="AK307">
        <v>1295.656953549754</v>
      </c>
      <c r="AL307" t="s">
        <v>105</v>
      </c>
      <c r="AM307" s="41" t="s">
        <v>477</v>
      </c>
    </row>
    <row r="308" spans="1:45">
      <c r="A308">
        <v>2610527183</v>
      </c>
      <c r="B308">
        <v>1144012000</v>
      </c>
      <c r="C308" t="s">
        <v>211</v>
      </c>
      <c r="D308" t="s">
        <v>0</v>
      </c>
      <c r="E308" t="s">
        <v>94</v>
      </c>
      <c r="F308" t="s">
        <v>95</v>
      </c>
      <c r="G308" t="s">
        <v>35</v>
      </c>
      <c r="H308">
        <v>3</v>
      </c>
      <c r="I308">
        <v>570000</v>
      </c>
      <c r="J308">
        <v>0</v>
      </c>
      <c r="K308" t="s">
        <v>361</v>
      </c>
      <c r="L308">
        <v>504</v>
      </c>
      <c r="M308">
        <v>152</v>
      </c>
      <c r="N308">
        <v>3750</v>
      </c>
      <c r="O308">
        <v>227.07</v>
      </c>
      <c r="P308">
        <v>68</v>
      </c>
      <c r="Q308">
        <v>8382</v>
      </c>
      <c r="R308" t="s">
        <v>96</v>
      </c>
      <c r="S308" s="40">
        <v>46078</v>
      </c>
      <c r="T308">
        <v>37.550941000000002</v>
      </c>
      <c r="U308">
        <v>126.913787</v>
      </c>
      <c r="V308" t="s">
        <v>362</v>
      </c>
      <c r="W308" t="s">
        <v>363</v>
      </c>
      <c r="X308">
        <v>1</v>
      </c>
      <c r="Y308">
        <v>0</v>
      </c>
      <c r="Z308">
        <v>0</v>
      </c>
      <c r="AA308" t="s">
        <v>139</v>
      </c>
      <c r="AB308" t="s">
        <v>364</v>
      </c>
      <c r="AC308">
        <v>570000</v>
      </c>
      <c r="AD308">
        <v>0</v>
      </c>
      <c r="AE308" t="s">
        <v>101</v>
      </c>
      <c r="AF308" t="s">
        <v>115</v>
      </c>
      <c r="AG308" t="s">
        <v>116</v>
      </c>
      <c r="AH308">
        <v>132.01770664783839</v>
      </c>
      <c r="AI308" t="s">
        <v>47</v>
      </c>
      <c r="AJ308" t="s">
        <v>104</v>
      </c>
      <c r="AK308">
        <v>528.48255152744889</v>
      </c>
      <c r="AL308">
        <v>1</v>
      </c>
      <c r="AM308" s="41" t="s">
        <v>178</v>
      </c>
      <c r="AN308">
        <f t="shared" ref="AN308:AN309" si="150">IFERROR(VALUE(LEFT($W308,FIND("년",$W308)-1)),"")</f>
        <v>15</v>
      </c>
      <c r="AO308" t="str">
        <f t="shared" ref="AO308:AO309" si="151">IFERROR(IF(FIND("년",$W308)=3,MID($W308,FIND("년",$W308)+1,FIND("년",$W308)-1),MID($W308,FIND("년",$W308)+1,FIND("년",$W308))),"")</f>
        <v>이내</v>
      </c>
      <c r="AP308">
        <f t="shared" ref="AP308:AP309" si="152">IFERROR(IF($AN308&lt;11,10,IF(AND($AN308&lt;26,$AO308="이내"),25,26)),"")</f>
        <v>25</v>
      </c>
      <c r="AQ308">
        <f t="shared" ref="AQ308:AQ309" si="153">IFERROR(IF($P308&lt;10,9,IF($P308&lt;20,10,IF($P308&lt;30,20,IF($P308&lt;40,30,40)))),"")</f>
        <v>40</v>
      </c>
      <c r="AR308" t="str">
        <f t="shared" ref="AR308:AR309" si="154">IFERROR(IF($D308="상가",IF($G308="1","1층",IF($G308="전체층","전체층",IF(LEFT($G308,1)="B","B1",IF($G308&lt;6,"저",IF($G308/$H308&lt;=$BC$9,"저",IF($G308/$H308&lt;=$BC$10,"중","고")))))),IF(LEFT($G308,1)="B","B1",IF($H308&lt;6,"저",IF($G308/$H308&lt;=$BC$2,"저",IF($G308/$H308&lt;=$BC$3,"중","고"))))),"")</f>
        <v>B1</v>
      </c>
      <c r="AS308">
        <f>IFERROR(ACOS(SIN(RADIANS(거래사례!$S$11))*SIN(RADIANS($T308))+COS(RADIANS(거래사례!$S$11))*COS(RADIANS($T308))*COS(RADIANS($U308-거래사례!$P$11)))*6371000,"")</f>
        <v>1675.9268209773247</v>
      </c>
    </row>
    <row r="309" spans="1:45">
      <c r="A309">
        <v>2610527183</v>
      </c>
      <c r="B309">
        <v>1144012000</v>
      </c>
      <c r="C309" t="s">
        <v>211</v>
      </c>
      <c r="D309" t="s">
        <v>0</v>
      </c>
      <c r="E309" t="s">
        <v>94</v>
      </c>
      <c r="F309" t="s">
        <v>95</v>
      </c>
      <c r="G309" t="s">
        <v>35</v>
      </c>
      <c r="H309">
        <v>3</v>
      </c>
      <c r="I309">
        <v>570000</v>
      </c>
      <c r="J309">
        <v>0</v>
      </c>
      <c r="K309" t="s">
        <v>361</v>
      </c>
      <c r="L309">
        <v>504</v>
      </c>
      <c r="M309">
        <v>152</v>
      </c>
      <c r="N309">
        <v>3750</v>
      </c>
      <c r="O309">
        <v>227.07</v>
      </c>
      <c r="P309">
        <v>68</v>
      </c>
      <c r="Q309">
        <v>8382</v>
      </c>
      <c r="R309" t="s">
        <v>96</v>
      </c>
      <c r="S309" s="40">
        <v>46078</v>
      </c>
      <c r="T309">
        <v>37.550941000000002</v>
      </c>
      <c r="U309">
        <v>126.913787</v>
      </c>
      <c r="V309" t="s">
        <v>362</v>
      </c>
      <c r="W309" t="s">
        <v>363</v>
      </c>
      <c r="X309">
        <v>1</v>
      </c>
      <c r="Y309">
        <v>0</v>
      </c>
      <c r="Z309">
        <v>0</v>
      </c>
      <c r="AA309" t="s">
        <v>139</v>
      </c>
      <c r="AB309" t="s">
        <v>364</v>
      </c>
      <c r="AC309">
        <v>570000</v>
      </c>
      <c r="AD309">
        <v>0</v>
      </c>
      <c r="AE309" t="s">
        <v>101</v>
      </c>
      <c r="AF309" t="s">
        <v>115</v>
      </c>
      <c r="AG309" t="s">
        <v>116</v>
      </c>
      <c r="AH309">
        <v>132.01770664783839</v>
      </c>
      <c r="AI309" t="s">
        <v>47</v>
      </c>
      <c r="AJ309" t="s">
        <v>104</v>
      </c>
      <c r="AK309">
        <v>528.48255152744889</v>
      </c>
      <c r="AL309">
        <v>1</v>
      </c>
      <c r="AM309" s="41" t="s">
        <v>178</v>
      </c>
      <c r="AN309">
        <f t="shared" si="150"/>
        <v>15</v>
      </c>
      <c r="AO309" t="str">
        <f t="shared" si="151"/>
        <v>이내</v>
      </c>
      <c r="AP309">
        <f t="shared" si="152"/>
        <v>25</v>
      </c>
      <c r="AQ309">
        <f t="shared" si="153"/>
        <v>40</v>
      </c>
      <c r="AR309" t="str">
        <f t="shared" si="154"/>
        <v>B1</v>
      </c>
      <c r="AS309">
        <f>IFERROR(ACOS(SIN(RADIANS(거래사례!$S$11))*SIN(RADIANS($T309))+COS(RADIANS(거래사례!$S$11))*COS(RADIANS($T309))*COS(RADIANS($U309-거래사례!$P$11)))*6371000,"")</f>
        <v>1675.9268209773247</v>
      </c>
    </row>
    <row r="310" spans="1:45" hidden="1">
      <c r="A310">
        <v>2611583392</v>
      </c>
      <c r="B310">
        <v>1144012000</v>
      </c>
      <c r="C310" t="s">
        <v>134</v>
      </c>
      <c r="D310" t="s">
        <v>0</v>
      </c>
      <c r="E310" t="s">
        <v>94</v>
      </c>
      <c r="F310" t="s">
        <v>135</v>
      </c>
      <c r="G310">
        <v>1</v>
      </c>
      <c r="H310">
        <v>12</v>
      </c>
      <c r="I310">
        <v>48000</v>
      </c>
      <c r="J310">
        <v>0</v>
      </c>
      <c r="K310" t="s">
        <v>339</v>
      </c>
      <c r="L310">
        <v>50</v>
      </c>
      <c r="M310">
        <v>15</v>
      </c>
      <c r="N310">
        <v>3200</v>
      </c>
      <c r="O310">
        <v>50.2</v>
      </c>
      <c r="P310">
        <v>15</v>
      </c>
      <c r="Q310">
        <v>3200</v>
      </c>
      <c r="R310" t="s">
        <v>110</v>
      </c>
      <c r="S310" s="40">
        <v>46084</v>
      </c>
      <c r="T310">
        <v>37.557372000000001</v>
      </c>
      <c r="U310">
        <v>126.916798</v>
      </c>
      <c r="V310" t="s">
        <v>491</v>
      </c>
      <c r="W310" t="s">
        <v>489</v>
      </c>
      <c r="X310">
        <v>4</v>
      </c>
      <c r="Y310" t="s">
        <v>339</v>
      </c>
      <c r="Z310" t="s">
        <v>339</v>
      </c>
      <c r="AA310" t="s">
        <v>99</v>
      </c>
      <c r="AB310" t="s">
        <v>492</v>
      </c>
      <c r="AC310">
        <v>48000</v>
      </c>
      <c r="AD310">
        <v>0</v>
      </c>
      <c r="AE310" t="s">
        <v>101</v>
      </c>
      <c r="AF310" t="s">
        <v>102</v>
      </c>
      <c r="AG310" t="s">
        <v>103</v>
      </c>
      <c r="AH310">
        <v>767.06448863561582</v>
      </c>
      <c r="AI310" t="s">
        <v>47</v>
      </c>
      <c r="AJ310" t="s">
        <v>104</v>
      </c>
      <c r="AK310">
        <v>797.1523313902012</v>
      </c>
      <c r="AL310" t="s">
        <v>105</v>
      </c>
      <c r="AM310" s="41" t="s">
        <v>472</v>
      </c>
    </row>
    <row r="311" spans="1:45" hidden="1">
      <c r="A311">
        <v>2611760740</v>
      </c>
      <c r="B311">
        <v>1144012000</v>
      </c>
      <c r="C311" t="s">
        <v>134</v>
      </c>
      <c r="D311" t="s">
        <v>0</v>
      </c>
      <c r="E311" t="s">
        <v>94</v>
      </c>
      <c r="F311" t="s">
        <v>108</v>
      </c>
      <c r="G311">
        <v>1</v>
      </c>
      <c r="H311">
        <v>12</v>
      </c>
      <c r="I311">
        <v>48000</v>
      </c>
      <c r="J311">
        <v>0</v>
      </c>
      <c r="K311" t="s">
        <v>339</v>
      </c>
      <c r="L311">
        <v>81</v>
      </c>
      <c r="M311">
        <v>24</v>
      </c>
      <c r="N311">
        <v>2000</v>
      </c>
      <c r="O311">
        <v>50.2</v>
      </c>
      <c r="P311">
        <v>15</v>
      </c>
      <c r="Q311">
        <v>3200</v>
      </c>
      <c r="R311" t="s">
        <v>110</v>
      </c>
      <c r="S311" s="40">
        <v>46084</v>
      </c>
      <c r="T311">
        <v>37.557372000000001</v>
      </c>
      <c r="U311">
        <v>126.916798</v>
      </c>
      <c r="V311" t="s">
        <v>488</v>
      </c>
      <c r="W311" t="s">
        <v>489</v>
      </c>
      <c r="X311">
        <v>1</v>
      </c>
      <c r="Y311">
        <v>0</v>
      </c>
      <c r="Z311">
        <v>0</v>
      </c>
      <c r="AA311" t="s">
        <v>113</v>
      </c>
      <c r="AB311" t="s">
        <v>490</v>
      </c>
      <c r="AC311">
        <v>48000</v>
      </c>
      <c r="AD311">
        <v>0</v>
      </c>
      <c r="AE311" t="s">
        <v>101</v>
      </c>
      <c r="AF311" t="s">
        <v>102</v>
      </c>
      <c r="AG311" t="s">
        <v>103</v>
      </c>
      <c r="AH311">
        <v>767.06448863561582</v>
      </c>
      <c r="AI311" t="s">
        <v>47</v>
      </c>
      <c r="AJ311" t="s">
        <v>104</v>
      </c>
      <c r="AK311">
        <v>797.1523313902012</v>
      </c>
      <c r="AL311" t="s">
        <v>105</v>
      </c>
      <c r="AM311" s="41" t="s">
        <v>472</v>
      </c>
    </row>
    <row r="312" spans="1:45" hidden="1">
      <c r="A312">
        <v>2610693483</v>
      </c>
      <c r="B312">
        <v>1144012000</v>
      </c>
      <c r="C312" t="s">
        <v>134</v>
      </c>
      <c r="D312" t="s">
        <v>0</v>
      </c>
      <c r="E312" t="s">
        <v>94</v>
      </c>
      <c r="F312" t="s">
        <v>135</v>
      </c>
      <c r="G312">
        <v>1</v>
      </c>
      <c r="H312">
        <v>12</v>
      </c>
      <c r="I312">
        <v>48000</v>
      </c>
      <c r="J312">
        <v>0</v>
      </c>
      <c r="K312" t="s">
        <v>339</v>
      </c>
      <c r="L312">
        <v>50</v>
      </c>
      <c r="M312">
        <v>15</v>
      </c>
      <c r="N312">
        <v>3200</v>
      </c>
      <c r="O312">
        <v>50.2</v>
      </c>
      <c r="P312">
        <v>15</v>
      </c>
      <c r="Q312">
        <v>3200</v>
      </c>
      <c r="R312" t="s">
        <v>121</v>
      </c>
      <c r="S312" s="40">
        <v>46079</v>
      </c>
      <c r="T312">
        <v>37.557372000000001</v>
      </c>
      <c r="U312">
        <v>126.916798</v>
      </c>
      <c r="V312" t="s">
        <v>493</v>
      </c>
      <c r="W312" t="s">
        <v>494</v>
      </c>
      <c r="X312">
        <v>1</v>
      </c>
      <c r="Y312">
        <v>0</v>
      </c>
      <c r="Z312">
        <v>0</v>
      </c>
      <c r="AA312" t="s">
        <v>139</v>
      </c>
      <c r="AB312" t="s">
        <v>492</v>
      </c>
      <c r="AC312">
        <v>48000</v>
      </c>
      <c r="AD312">
        <v>0</v>
      </c>
      <c r="AE312" t="s">
        <v>101</v>
      </c>
      <c r="AF312" t="s">
        <v>102</v>
      </c>
      <c r="AG312" t="s">
        <v>103</v>
      </c>
      <c r="AH312">
        <v>767.06448863561582</v>
      </c>
      <c r="AI312" t="s">
        <v>47</v>
      </c>
      <c r="AJ312" t="s">
        <v>104</v>
      </c>
      <c r="AK312">
        <v>797.1523313902012</v>
      </c>
      <c r="AL312" t="s">
        <v>105</v>
      </c>
      <c r="AM312" s="41" t="s">
        <v>472</v>
      </c>
    </row>
    <row r="313" spans="1:45" hidden="1">
      <c r="A313">
        <v>2607307730</v>
      </c>
      <c r="B313">
        <v>1144012000</v>
      </c>
      <c r="C313" t="s">
        <v>93</v>
      </c>
      <c r="D313" t="s">
        <v>0</v>
      </c>
      <c r="E313" t="s">
        <v>94</v>
      </c>
      <c r="F313" t="s">
        <v>108</v>
      </c>
      <c r="G313">
        <v>1</v>
      </c>
      <c r="H313">
        <v>12</v>
      </c>
      <c r="I313">
        <v>48000</v>
      </c>
      <c r="J313">
        <v>0</v>
      </c>
      <c r="K313" t="s">
        <v>339</v>
      </c>
      <c r="L313">
        <v>81</v>
      </c>
      <c r="M313">
        <v>24</v>
      </c>
      <c r="N313">
        <v>2000</v>
      </c>
      <c r="O313">
        <v>50.2</v>
      </c>
      <c r="P313">
        <v>15</v>
      </c>
      <c r="Q313">
        <v>3200</v>
      </c>
      <c r="R313" t="s">
        <v>110</v>
      </c>
      <c r="S313" s="40">
        <v>46059</v>
      </c>
      <c r="T313">
        <v>37.557372999999998</v>
      </c>
      <c r="U313">
        <v>126.916798</v>
      </c>
      <c r="V313" t="s">
        <v>495</v>
      </c>
      <c r="W313" t="s">
        <v>489</v>
      </c>
      <c r="X313">
        <v>1</v>
      </c>
      <c r="Y313">
        <v>0</v>
      </c>
      <c r="Z313">
        <v>0</v>
      </c>
      <c r="AA313" t="s">
        <v>328</v>
      </c>
      <c r="AB313" t="s">
        <v>329</v>
      </c>
      <c r="AC313">
        <v>48000</v>
      </c>
      <c r="AD313">
        <v>0</v>
      </c>
      <c r="AE313" t="s">
        <v>101</v>
      </c>
      <c r="AF313" t="s">
        <v>102</v>
      </c>
      <c r="AG313" t="s">
        <v>103</v>
      </c>
      <c r="AH313">
        <v>767.08573569644557</v>
      </c>
      <c r="AI313" t="s">
        <v>47</v>
      </c>
      <c r="AJ313" t="s">
        <v>104</v>
      </c>
      <c r="AK313">
        <v>797.26044038606585</v>
      </c>
      <c r="AL313" t="s">
        <v>105</v>
      </c>
      <c r="AM313" s="41" t="s">
        <v>472</v>
      </c>
    </row>
    <row r="314" spans="1:45" hidden="1">
      <c r="A314">
        <v>2607091330</v>
      </c>
      <c r="B314">
        <v>1144012000</v>
      </c>
      <c r="C314" t="s">
        <v>134</v>
      </c>
      <c r="D314" t="s">
        <v>0</v>
      </c>
      <c r="E314" t="s">
        <v>94</v>
      </c>
      <c r="F314" t="s">
        <v>108</v>
      </c>
      <c r="G314">
        <v>1</v>
      </c>
      <c r="H314">
        <v>12</v>
      </c>
      <c r="I314">
        <v>48000</v>
      </c>
      <c r="J314">
        <v>0</v>
      </c>
      <c r="K314" t="s">
        <v>339</v>
      </c>
      <c r="L314">
        <v>81</v>
      </c>
      <c r="M314">
        <v>24</v>
      </c>
      <c r="N314">
        <v>2000</v>
      </c>
      <c r="O314">
        <v>50.2</v>
      </c>
      <c r="P314">
        <v>15</v>
      </c>
      <c r="Q314">
        <v>3200</v>
      </c>
      <c r="R314" t="s">
        <v>110</v>
      </c>
      <c r="S314" s="40">
        <v>46058</v>
      </c>
      <c r="T314">
        <v>37.557372999999998</v>
      </c>
      <c r="U314">
        <v>126.916798</v>
      </c>
      <c r="V314" t="s">
        <v>496</v>
      </c>
      <c r="W314" t="s">
        <v>497</v>
      </c>
      <c r="X314">
        <v>1</v>
      </c>
      <c r="Y314">
        <v>0</v>
      </c>
      <c r="Z314">
        <v>0</v>
      </c>
      <c r="AA314" t="s">
        <v>113</v>
      </c>
      <c r="AB314" t="s">
        <v>498</v>
      </c>
      <c r="AC314">
        <v>48000</v>
      </c>
      <c r="AD314">
        <v>0</v>
      </c>
      <c r="AE314" t="s">
        <v>101</v>
      </c>
      <c r="AF314" t="s">
        <v>102</v>
      </c>
      <c r="AG314" t="s">
        <v>103</v>
      </c>
      <c r="AH314">
        <v>767.08573569644557</v>
      </c>
      <c r="AI314" t="s">
        <v>47</v>
      </c>
      <c r="AJ314" t="s">
        <v>104</v>
      </c>
      <c r="AK314">
        <v>797.26044038606585</v>
      </c>
      <c r="AL314" t="s">
        <v>105</v>
      </c>
      <c r="AM314" s="41" t="s">
        <v>472</v>
      </c>
    </row>
    <row r="315" spans="1:45" hidden="1">
      <c r="A315">
        <v>2611891693</v>
      </c>
      <c r="B315">
        <v>1144011400</v>
      </c>
      <c r="C315" t="s">
        <v>134</v>
      </c>
      <c r="D315" t="s">
        <v>0</v>
      </c>
      <c r="E315" t="s">
        <v>94</v>
      </c>
      <c r="F315" t="s">
        <v>135</v>
      </c>
      <c r="G315">
        <v>2</v>
      </c>
      <c r="H315">
        <v>2</v>
      </c>
      <c r="I315">
        <v>45000</v>
      </c>
      <c r="J315">
        <v>0</v>
      </c>
      <c r="K315" t="s">
        <v>203</v>
      </c>
      <c r="L315">
        <v>49</v>
      </c>
      <c r="M315">
        <v>14</v>
      </c>
      <c r="N315">
        <v>3214</v>
      </c>
      <c r="O315">
        <v>49</v>
      </c>
      <c r="P315">
        <v>14</v>
      </c>
      <c r="Q315">
        <v>3214</v>
      </c>
      <c r="R315" t="s">
        <v>145</v>
      </c>
      <c r="S315" s="40">
        <v>46085</v>
      </c>
      <c r="T315">
        <v>37.548369000000001</v>
      </c>
      <c r="U315">
        <v>126.92944799999999</v>
      </c>
      <c r="V315" t="s">
        <v>499</v>
      </c>
      <c r="W315" t="s">
        <v>479</v>
      </c>
      <c r="X315">
        <v>1</v>
      </c>
      <c r="Y315">
        <v>0</v>
      </c>
      <c r="Z315">
        <v>0</v>
      </c>
      <c r="AA315" t="s">
        <v>176</v>
      </c>
      <c r="AB315" t="s">
        <v>500</v>
      </c>
      <c r="AC315">
        <v>45000</v>
      </c>
      <c r="AD315">
        <v>0</v>
      </c>
      <c r="AE315" t="s">
        <v>101</v>
      </c>
      <c r="AF315" t="s">
        <v>481</v>
      </c>
      <c r="AG315" t="s">
        <v>103</v>
      </c>
      <c r="AH315">
        <v>353.10489569662644</v>
      </c>
      <c r="AI315" t="s">
        <v>47</v>
      </c>
      <c r="AJ315" t="s">
        <v>104</v>
      </c>
      <c r="AK315">
        <v>1239.2769741190828</v>
      </c>
      <c r="AL315" t="s">
        <v>105</v>
      </c>
      <c r="AM315" s="41" t="s">
        <v>482</v>
      </c>
    </row>
    <row r="316" spans="1:45" hidden="1">
      <c r="A316">
        <v>2609225120</v>
      </c>
      <c r="B316">
        <v>1144011400</v>
      </c>
      <c r="C316" t="s">
        <v>134</v>
      </c>
      <c r="D316" t="s">
        <v>0</v>
      </c>
      <c r="E316" t="s">
        <v>94</v>
      </c>
      <c r="F316" t="s">
        <v>119</v>
      </c>
      <c r="G316">
        <v>2</v>
      </c>
      <c r="H316">
        <v>2</v>
      </c>
      <c r="I316">
        <v>45000</v>
      </c>
      <c r="J316">
        <v>0</v>
      </c>
      <c r="K316" t="s">
        <v>203</v>
      </c>
      <c r="L316">
        <v>49</v>
      </c>
      <c r="M316">
        <v>14</v>
      </c>
      <c r="N316">
        <v>3214</v>
      </c>
      <c r="O316">
        <v>49</v>
      </c>
      <c r="P316">
        <v>14</v>
      </c>
      <c r="Q316">
        <v>3214</v>
      </c>
      <c r="R316" t="s">
        <v>145</v>
      </c>
      <c r="S316" s="40">
        <v>46072</v>
      </c>
      <c r="T316">
        <v>37.548369000000001</v>
      </c>
      <c r="U316">
        <v>126.92944799999999</v>
      </c>
      <c r="V316" t="s">
        <v>501</v>
      </c>
      <c r="W316" t="s">
        <v>479</v>
      </c>
      <c r="X316">
        <v>3</v>
      </c>
      <c r="Y316" t="s">
        <v>238</v>
      </c>
      <c r="Z316" t="s">
        <v>203</v>
      </c>
      <c r="AA316" t="s">
        <v>124</v>
      </c>
      <c r="AB316" t="s">
        <v>502</v>
      </c>
      <c r="AC316">
        <v>45000</v>
      </c>
      <c r="AD316">
        <v>0</v>
      </c>
      <c r="AE316" t="s">
        <v>101</v>
      </c>
      <c r="AF316" t="s">
        <v>481</v>
      </c>
      <c r="AG316" t="s">
        <v>103</v>
      </c>
      <c r="AH316">
        <v>353.10489569662644</v>
      </c>
      <c r="AI316" t="s">
        <v>47</v>
      </c>
      <c r="AJ316" t="s">
        <v>104</v>
      </c>
      <c r="AK316">
        <v>1239.2769741190828</v>
      </c>
      <c r="AL316" t="s">
        <v>105</v>
      </c>
      <c r="AM316" s="41" t="s">
        <v>482</v>
      </c>
    </row>
    <row r="317" spans="1:45" hidden="1">
      <c r="A317">
        <v>2611895524</v>
      </c>
      <c r="B317">
        <v>1141011600</v>
      </c>
      <c r="C317" t="s">
        <v>134</v>
      </c>
      <c r="D317" t="s">
        <v>0</v>
      </c>
      <c r="E317" t="s">
        <v>94</v>
      </c>
      <c r="F317" t="s">
        <v>95</v>
      </c>
      <c r="G317">
        <v>5</v>
      </c>
      <c r="H317">
        <v>15</v>
      </c>
      <c r="I317">
        <v>52100</v>
      </c>
      <c r="J317">
        <v>0</v>
      </c>
      <c r="K317" t="s">
        <v>503</v>
      </c>
      <c r="L317">
        <v>93</v>
      </c>
      <c r="M317">
        <v>28</v>
      </c>
      <c r="N317">
        <v>1860</v>
      </c>
      <c r="O317">
        <v>54.04</v>
      </c>
      <c r="P317">
        <v>16</v>
      </c>
      <c r="Q317">
        <v>3256</v>
      </c>
      <c r="R317" t="s">
        <v>208</v>
      </c>
      <c r="S317" s="40">
        <v>46085</v>
      </c>
      <c r="T317">
        <v>37.556063999999999</v>
      </c>
      <c r="U317">
        <v>126.93825</v>
      </c>
      <c r="V317" t="s">
        <v>504</v>
      </c>
      <c r="W317" t="s">
        <v>485</v>
      </c>
      <c r="X317">
        <v>1</v>
      </c>
      <c r="Y317">
        <v>0</v>
      </c>
      <c r="Z317">
        <v>0</v>
      </c>
      <c r="AA317" t="s">
        <v>113</v>
      </c>
      <c r="AB317" t="s">
        <v>505</v>
      </c>
      <c r="AC317">
        <v>52100</v>
      </c>
      <c r="AD317">
        <v>0</v>
      </c>
      <c r="AE317" t="s">
        <v>101</v>
      </c>
      <c r="AF317" t="s">
        <v>436</v>
      </c>
      <c r="AG317" t="s">
        <v>437</v>
      </c>
      <c r="AH317">
        <v>172.70504045212317</v>
      </c>
      <c r="AI317" t="s">
        <v>48</v>
      </c>
      <c r="AJ317" t="s">
        <v>104</v>
      </c>
      <c r="AK317">
        <v>639.01446691631702</v>
      </c>
      <c r="AL317" t="s">
        <v>105</v>
      </c>
      <c r="AM317" s="41" t="s">
        <v>438</v>
      </c>
    </row>
    <row r="318" spans="1:45" hidden="1">
      <c r="A318">
        <v>2607931041</v>
      </c>
      <c r="B318">
        <v>1144012100</v>
      </c>
      <c r="C318" t="s">
        <v>134</v>
      </c>
      <c r="D318" t="s">
        <v>0</v>
      </c>
      <c r="E318" t="s">
        <v>94</v>
      </c>
      <c r="F318" t="s">
        <v>95</v>
      </c>
      <c r="G318" t="s">
        <v>35</v>
      </c>
      <c r="H318">
        <v>18</v>
      </c>
      <c r="I318">
        <v>23000</v>
      </c>
      <c r="J318">
        <v>0</v>
      </c>
      <c r="K318" t="s">
        <v>235</v>
      </c>
      <c r="L318">
        <v>55</v>
      </c>
      <c r="M318">
        <v>16</v>
      </c>
      <c r="N318">
        <v>1437</v>
      </c>
      <c r="O318">
        <v>24.57</v>
      </c>
      <c r="P318">
        <v>7</v>
      </c>
      <c r="Q318">
        <v>3286</v>
      </c>
      <c r="R318" t="s">
        <v>136</v>
      </c>
      <c r="S318" s="40">
        <v>46063</v>
      </c>
      <c r="T318">
        <v>37.556083999999998</v>
      </c>
      <c r="U318">
        <v>126.923455</v>
      </c>
      <c r="V318" t="s">
        <v>506</v>
      </c>
      <c r="W318" t="s">
        <v>431</v>
      </c>
      <c r="X318">
        <v>1</v>
      </c>
      <c r="Y318">
        <v>0</v>
      </c>
      <c r="Z318">
        <v>0</v>
      </c>
      <c r="AA318" t="s">
        <v>113</v>
      </c>
      <c r="AB318" t="s">
        <v>432</v>
      </c>
      <c r="AC318">
        <v>23000</v>
      </c>
      <c r="AD318">
        <v>0</v>
      </c>
      <c r="AE318" t="s">
        <v>101</v>
      </c>
      <c r="AF318" t="s">
        <v>165</v>
      </c>
      <c r="AG318" t="s">
        <v>166</v>
      </c>
      <c r="AH318">
        <v>93.029525670005455</v>
      </c>
      <c r="AI318" t="s">
        <v>47</v>
      </c>
      <c r="AJ318" t="s">
        <v>104</v>
      </c>
      <c r="AK318">
        <v>837.53034349574909</v>
      </c>
      <c r="AL318" t="s">
        <v>105</v>
      </c>
      <c r="AM318" s="41" t="s">
        <v>426</v>
      </c>
    </row>
    <row r="319" spans="1:45" hidden="1">
      <c r="A319">
        <v>2610163162</v>
      </c>
      <c r="B319">
        <v>1144012000</v>
      </c>
      <c r="C319" t="s">
        <v>134</v>
      </c>
      <c r="D319" t="s">
        <v>0</v>
      </c>
      <c r="E319" t="s">
        <v>94</v>
      </c>
      <c r="F319" t="s">
        <v>95</v>
      </c>
      <c r="G319">
        <v>1</v>
      </c>
      <c r="H319">
        <v>19</v>
      </c>
      <c r="I319">
        <v>33000</v>
      </c>
      <c r="J319">
        <v>0</v>
      </c>
      <c r="K319" t="s">
        <v>191</v>
      </c>
      <c r="L319">
        <v>34</v>
      </c>
      <c r="M319">
        <v>10</v>
      </c>
      <c r="N319">
        <v>3300</v>
      </c>
      <c r="O319">
        <v>34.94</v>
      </c>
      <c r="P319">
        <v>10</v>
      </c>
      <c r="Q319">
        <v>3300</v>
      </c>
      <c r="R319" t="s">
        <v>161</v>
      </c>
      <c r="S319" s="40">
        <v>46076</v>
      </c>
      <c r="T319">
        <v>37.553798999999998</v>
      </c>
      <c r="U319">
        <v>126.92370099999999</v>
      </c>
      <c r="V319" t="s">
        <v>192</v>
      </c>
      <c r="W319" t="s">
        <v>193</v>
      </c>
      <c r="X319">
        <v>1</v>
      </c>
      <c r="Y319">
        <v>0</v>
      </c>
      <c r="Z319">
        <v>0</v>
      </c>
      <c r="AA319" t="s">
        <v>139</v>
      </c>
      <c r="AB319" t="s">
        <v>186</v>
      </c>
      <c r="AC319">
        <v>33000</v>
      </c>
      <c r="AD319">
        <v>0</v>
      </c>
      <c r="AE319" t="s">
        <v>101</v>
      </c>
      <c r="AF319" t="s">
        <v>165</v>
      </c>
      <c r="AG319" t="s">
        <v>166</v>
      </c>
      <c r="AH319">
        <v>344.14694489895248</v>
      </c>
      <c r="AI319" t="s">
        <v>47</v>
      </c>
      <c r="AJ319" t="s">
        <v>104</v>
      </c>
      <c r="AK319">
        <v>690.06417067304881</v>
      </c>
      <c r="AL319" t="s">
        <v>105</v>
      </c>
      <c r="AM319" s="41" t="s">
        <v>167</v>
      </c>
    </row>
    <row r="320" spans="1:45" hidden="1">
      <c r="A320">
        <v>2611887949</v>
      </c>
      <c r="B320">
        <v>1141011600</v>
      </c>
      <c r="C320" t="s">
        <v>134</v>
      </c>
      <c r="D320" t="s">
        <v>0</v>
      </c>
      <c r="E320" t="s">
        <v>94</v>
      </c>
      <c r="F320" t="s">
        <v>95</v>
      </c>
      <c r="G320" t="s">
        <v>3</v>
      </c>
      <c r="H320">
        <v>15</v>
      </c>
      <c r="I320">
        <v>39000</v>
      </c>
      <c r="J320">
        <v>0</v>
      </c>
      <c r="K320" t="s">
        <v>513</v>
      </c>
      <c r="L320">
        <v>66</v>
      </c>
      <c r="M320">
        <v>19</v>
      </c>
      <c r="N320">
        <v>2052</v>
      </c>
      <c r="O320">
        <v>38.93</v>
      </c>
      <c r="P320">
        <v>11</v>
      </c>
      <c r="Q320">
        <v>3545</v>
      </c>
      <c r="R320" t="s">
        <v>96</v>
      </c>
      <c r="S320" s="40">
        <v>46085</v>
      </c>
      <c r="T320">
        <v>37.556063999999999</v>
      </c>
      <c r="U320">
        <v>126.93825</v>
      </c>
      <c r="V320" t="s">
        <v>514</v>
      </c>
      <c r="W320" t="s">
        <v>515</v>
      </c>
      <c r="X320">
        <v>1</v>
      </c>
      <c r="Y320">
        <v>0</v>
      </c>
      <c r="Z320">
        <v>0</v>
      </c>
      <c r="AA320" t="s">
        <v>99</v>
      </c>
      <c r="AB320" t="s">
        <v>451</v>
      </c>
      <c r="AC320">
        <v>39000</v>
      </c>
      <c r="AD320">
        <v>0</v>
      </c>
      <c r="AE320" t="s">
        <v>101</v>
      </c>
      <c r="AF320" t="s">
        <v>436</v>
      </c>
      <c r="AG320" t="s">
        <v>437</v>
      </c>
      <c r="AH320">
        <v>172.70504045212317</v>
      </c>
      <c r="AI320" t="s">
        <v>48</v>
      </c>
      <c r="AJ320" t="s">
        <v>104</v>
      </c>
      <c r="AK320">
        <v>639.01446691631702</v>
      </c>
      <c r="AL320" t="s">
        <v>105</v>
      </c>
      <c r="AM320" s="41" t="s">
        <v>438</v>
      </c>
    </row>
    <row r="321" spans="1:45">
      <c r="A321">
        <v>2609725877</v>
      </c>
      <c r="B321">
        <v>1144012000</v>
      </c>
      <c r="C321" t="s">
        <v>93</v>
      </c>
      <c r="D321" t="s">
        <v>0</v>
      </c>
      <c r="E321" t="s">
        <v>94</v>
      </c>
      <c r="F321" t="s">
        <v>95</v>
      </c>
      <c r="G321">
        <v>1</v>
      </c>
      <c r="H321">
        <v>2</v>
      </c>
      <c r="I321">
        <v>600000</v>
      </c>
      <c r="J321">
        <v>0</v>
      </c>
      <c r="K321" t="s">
        <v>612</v>
      </c>
      <c r="L321">
        <v>237</v>
      </c>
      <c r="M321">
        <v>71</v>
      </c>
      <c r="N321">
        <v>8450</v>
      </c>
      <c r="O321">
        <v>237.32</v>
      </c>
      <c r="P321">
        <v>71</v>
      </c>
      <c r="Q321">
        <v>8451</v>
      </c>
      <c r="R321" t="s">
        <v>121</v>
      </c>
      <c r="S321" s="40">
        <v>46074</v>
      </c>
      <c r="T321">
        <v>37.557392</v>
      </c>
      <c r="U321">
        <v>126.913031</v>
      </c>
      <c r="V321" t="s">
        <v>613</v>
      </c>
      <c r="W321" t="s">
        <v>277</v>
      </c>
      <c r="X321">
        <v>1</v>
      </c>
      <c r="Y321">
        <v>0</v>
      </c>
      <c r="Z321">
        <v>0</v>
      </c>
      <c r="AA321" t="s">
        <v>139</v>
      </c>
      <c r="AB321" t="s">
        <v>255</v>
      </c>
      <c r="AC321">
        <v>600000</v>
      </c>
      <c r="AD321">
        <v>0</v>
      </c>
      <c r="AE321" t="s">
        <v>101</v>
      </c>
      <c r="AF321" t="s">
        <v>102</v>
      </c>
      <c r="AG321" t="s">
        <v>103</v>
      </c>
      <c r="AH321">
        <v>365.22126114412208</v>
      </c>
      <c r="AI321" t="s">
        <v>47</v>
      </c>
      <c r="AJ321" t="s">
        <v>104</v>
      </c>
      <c r="AK321">
        <v>986.99813145512928</v>
      </c>
      <c r="AL321" t="s">
        <v>105</v>
      </c>
      <c r="AM321" s="41" t="s">
        <v>614</v>
      </c>
      <c r="AN321">
        <f t="shared" ref="AN321:AN324" si="155">IFERROR(VALUE(LEFT($W321,FIND("년",$W321)-1)),"")</f>
        <v>25</v>
      </c>
      <c r="AO321" t="str">
        <f t="shared" ref="AO321:AO324" si="156">IFERROR(IF(FIND("년",$W321)=3,MID($W321,FIND("년",$W321)+1,FIND("년",$W321)-1),MID($W321,FIND("년",$W321)+1,FIND("년",$W321))),"")</f>
        <v>이상</v>
      </c>
      <c r="AP321">
        <f t="shared" ref="AP321:AP324" si="157">IFERROR(IF($AN321&lt;11,10,IF(AND($AN321&lt;26,$AO321="이내"),25,26)),"")</f>
        <v>26</v>
      </c>
      <c r="AQ321">
        <f t="shared" ref="AQ321:AQ324" si="158">IFERROR(IF($P321&lt;10,9,IF($P321&lt;20,10,IF($P321&lt;30,20,IF($P321&lt;40,30,40)))),"")</f>
        <v>40</v>
      </c>
      <c r="AR321" t="str">
        <f t="shared" ref="AR321:AR324" si="159">IFERROR(IF($D321="상가",IF($G321="1","1층",IF($G321="전체층","전체층",IF(LEFT($G321,1)="B","B1",IF($G321&lt;6,"저",IF($G321/$H321&lt;=$BC$9,"저",IF($G321/$H321&lt;=$BC$10,"중","고")))))),IF(LEFT($G321,1)="B","B1",IF($H321&lt;6,"저",IF($G321/$H321&lt;=$BC$2,"저",IF($G321/$H321&lt;=$BC$3,"중","고"))))),"")</f>
        <v>저</v>
      </c>
      <c r="AS321">
        <f>IFERROR(ACOS(SIN(RADIANS(거래사례!$S$11))*SIN(RADIANS($T321))+COS(RADIANS(거래사례!$S$11))*COS(RADIANS($T321))*COS(RADIANS($U321-거래사례!$P$11)))*6371000,"")</f>
        <v>1447.3643582450718</v>
      </c>
    </row>
    <row r="322" spans="1:45">
      <c r="A322">
        <v>2609865860</v>
      </c>
      <c r="B322">
        <v>1144012000</v>
      </c>
      <c r="C322" t="s">
        <v>93</v>
      </c>
      <c r="D322" t="s">
        <v>0</v>
      </c>
      <c r="E322" t="s">
        <v>94</v>
      </c>
      <c r="F322" t="s">
        <v>95</v>
      </c>
      <c r="G322">
        <v>1</v>
      </c>
      <c r="H322">
        <v>2</v>
      </c>
      <c r="I322">
        <v>1360000</v>
      </c>
      <c r="J322">
        <v>0</v>
      </c>
      <c r="K322" t="s">
        <v>365</v>
      </c>
      <c r="L322">
        <v>527</v>
      </c>
      <c r="M322">
        <v>159</v>
      </c>
      <c r="N322">
        <v>8553</v>
      </c>
      <c r="O322">
        <v>527.47</v>
      </c>
      <c r="P322">
        <v>159</v>
      </c>
      <c r="Q322">
        <v>8553</v>
      </c>
      <c r="R322" t="s">
        <v>154</v>
      </c>
      <c r="S322" s="40">
        <v>46074</v>
      </c>
      <c r="T322">
        <v>37.551758999999997</v>
      </c>
      <c r="U322">
        <v>126.92364600000001</v>
      </c>
      <c r="V322" t="s">
        <v>366</v>
      </c>
      <c r="W322" t="s">
        <v>367</v>
      </c>
      <c r="X322">
        <v>1</v>
      </c>
      <c r="Y322">
        <v>0</v>
      </c>
      <c r="Z322">
        <v>0</v>
      </c>
      <c r="AA322" t="s">
        <v>139</v>
      </c>
      <c r="AB322" t="s">
        <v>255</v>
      </c>
      <c r="AC322">
        <v>1360000</v>
      </c>
      <c r="AD322">
        <v>0</v>
      </c>
      <c r="AE322" t="s">
        <v>101</v>
      </c>
      <c r="AF322" t="s">
        <v>242</v>
      </c>
      <c r="AG322" t="s">
        <v>103</v>
      </c>
      <c r="AH322">
        <v>432.05944521050645</v>
      </c>
      <c r="AI322" t="s">
        <v>47</v>
      </c>
      <c r="AJ322" t="s">
        <v>104</v>
      </c>
      <c r="AK322">
        <v>591.39949347836944</v>
      </c>
      <c r="AL322">
        <v>1</v>
      </c>
      <c r="AM322" s="41" t="s">
        <v>368</v>
      </c>
      <c r="AN322">
        <f t="shared" si="155"/>
        <v>25</v>
      </c>
      <c r="AO322" t="str">
        <f t="shared" si="156"/>
        <v>이상</v>
      </c>
      <c r="AP322">
        <f t="shared" si="157"/>
        <v>26</v>
      </c>
      <c r="AQ322">
        <f t="shared" si="158"/>
        <v>40</v>
      </c>
      <c r="AR322" t="str">
        <f t="shared" si="159"/>
        <v>저</v>
      </c>
      <c r="AS322">
        <f>IFERROR(ACOS(SIN(RADIANS(거래사례!$S$11))*SIN(RADIANS($T322))+COS(RADIANS(거래사례!$S$11))*COS(RADIANS($T322))*COS(RADIANS($U322-거래사례!$P$11)))*6371000,"")</f>
        <v>1018.0934088558184</v>
      </c>
    </row>
    <row r="323" spans="1:45">
      <c r="A323">
        <v>2609865860</v>
      </c>
      <c r="B323">
        <v>1144012000</v>
      </c>
      <c r="C323" t="s">
        <v>93</v>
      </c>
      <c r="D323" t="s">
        <v>0</v>
      </c>
      <c r="E323" t="s">
        <v>94</v>
      </c>
      <c r="F323" t="s">
        <v>95</v>
      </c>
      <c r="G323">
        <v>1</v>
      </c>
      <c r="H323">
        <v>2</v>
      </c>
      <c r="I323">
        <v>1360000</v>
      </c>
      <c r="J323">
        <v>0</v>
      </c>
      <c r="K323" t="s">
        <v>365</v>
      </c>
      <c r="L323">
        <v>527</v>
      </c>
      <c r="M323">
        <v>159</v>
      </c>
      <c r="N323">
        <v>8553</v>
      </c>
      <c r="O323">
        <v>527.47</v>
      </c>
      <c r="P323">
        <v>159</v>
      </c>
      <c r="Q323">
        <v>8553</v>
      </c>
      <c r="R323" t="s">
        <v>154</v>
      </c>
      <c r="S323" s="40">
        <v>46074</v>
      </c>
      <c r="T323">
        <v>37.551758999999997</v>
      </c>
      <c r="U323">
        <v>126.92364600000001</v>
      </c>
      <c r="V323" t="s">
        <v>366</v>
      </c>
      <c r="W323" t="s">
        <v>367</v>
      </c>
      <c r="X323">
        <v>1</v>
      </c>
      <c r="Y323">
        <v>0</v>
      </c>
      <c r="Z323">
        <v>0</v>
      </c>
      <c r="AA323" t="s">
        <v>139</v>
      </c>
      <c r="AB323" t="s">
        <v>255</v>
      </c>
      <c r="AC323">
        <v>1360000</v>
      </c>
      <c r="AD323">
        <v>0</v>
      </c>
      <c r="AE323" t="s">
        <v>101</v>
      </c>
      <c r="AF323" t="s">
        <v>242</v>
      </c>
      <c r="AG323" t="s">
        <v>103</v>
      </c>
      <c r="AH323">
        <v>432.05944521050645</v>
      </c>
      <c r="AI323" t="s">
        <v>47</v>
      </c>
      <c r="AJ323" t="s">
        <v>104</v>
      </c>
      <c r="AK323">
        <v>591.39949347836944</v>
      </c>
      <c r="AL323">
        <v>1</v>
      </c>
      <c r="AM323" s="41" t="s">
        <v>368</v>
      </c>
      <c r="AN323">
        <f t="shared" si="155"/>
        <v>25</v>
      </c>
      <c r="AO323" t="str">
        <f t="shared" si="156"/>
        <v>이상</v>
      </c>
      <c r="AP323">
        <f t="shared" si="157"/>
        <v>26</v>
      </c>
      <c r="AQ323">
        <f t="shared" si="158"/>
        <v>40</v>
      </c>
      <c r="AR323" t="str">
        <f t="shared" si="159"/>
        <v>저</v>
      </c>
      <c r="AS323">
        <f>IFERROR(ACOS(SIN(RADIANS(거래사례!$S$11))*SIN(RADIANS($T323))+COS(RADIANS(거래사례!$S$11))*COS(RADIANS($T323))*COS(RADIANS($U323-거래사례!$P$11)))*6371000,"")</f>
        <v>1018.0934088558184</v>
      </c>
    </row>
    <row r="324" spans="1:45">
      <c r="A324">
        <v>2609865860</v>
      </c>
      <c r="B324">
        <v>1144012000</v>
      </c>
      <c r="C324" t="s">
        <v>93</v>
      </c>
      <c r="D324" t="s">
        <v>0</v>
      </c>
      <c r="E324" t="s">
        <v>94</v>
      </c>
      <c r="F324" t="s">
        <v>95</v>
      </c>
      <c r="G324">
        <v>1</v>
      </c>
      <c r="H324">
        <v>2</v>
      </c>
      <c r="I324">
        <v>1360000</v>
      </c>
      <c r="J324">
        <v>0</v>
      </c>
      <c r="K324" t="s">
        <v>365</v>
      </c>
      <c r="L324">
        <v>527</v>
      </c>
      <c r="M324">
        <v>159</v>
      </c>
      <c r="N324">
        <v>8553</v>
      </c>
      <c r="O324">
        <v>527.47</v>
      </c>
      <c r="P324">
        <v>159</v>
      </c>
      <c r="Q324">
        <v>8553</v>
      </c>
      <c r="R324" t="s">
        <v>154</v>
      </c>
      <c r="S324" s="40">
        <v>46074</v>
      </c>
      <c r="T324">
        <v>37.551758999999997</v>
      </c>
      <c r="U324">
        <v>126.92364600000001</v>
      </c>
      <c r="V324" t="s">
        <v>366</v>
      </c>
      <c r="W324" t="s">
        <v>367</v>
      </c>
      <c r="X324">
        <v>1</v>
      </c>
      <c r="Y324">
        <v>0</v>
      </c>
      <c r="Z324">
        <v>0</v>
      </c>
      <c r="AA324" t="s">
        <v>139</v>
      </c>
      <c r="AB324" t="s">
        <v>255</v>
      </c>
      <c r="AC324">
        <v>1360000</v>
      </c>
      <c r="AD324">
        <v>0</v>
      </c>
      <c r="AE324" t="s">
        <v>101</v>
      </c>
      <c r="AF324" t="s">
        <v>242</v>
      </c>
      <c r="AG324" t="s">
        <v>103</v>
      </c>
      <c r="AH324">
        <v>432.05944521050645</v>
      </c>
      <c r="AI324" t="s">
        <v>47</v>
      </c>
      <c r="AJ324" t="s">
        <v>104</v>
      </c>
      <c r="AK324">
        <v>591.39949347836944</v>
      </c>
      <c r="AL324">
        <v>1</v>
      </c>
      <c r="AM324" s="41" t="s">
        <v>368</v>
      </c>
      <c r="AN324">
        <f t="shared" si="155"/>
        <v>25</v>
      </c>
      <c r="AO324" t="str">
        <f t="shared" si="156"/>
        <v>이상</v>
      </c>
      <c r="AP324">
        <f t="shared" si="157"/>
        <v>26</v>
      </c>
      <c r="AQ324">
        <f t="shared" si="158"/>
        <v>40</v>
      </c>
      <c r="AR324" t="str">
        <f t="shared" si="159"/>
        <v>저</v>
      </c>
      <c r="AS324">
        <f>IFERROR(ACOS(SIN(RADIANS(거래사례!$S$11))*SIN(RADIANS($T324))+COS(RADIANS(거래사례!$S$11))*COS(RADIANS($T324))*COS(RADIANS($U324-거래사례!$P$11)))*6371000,"")</f>
        <v>1018.0934088558184</v>
      </c>
    </row>
    <row r="325" spans="1:45" hidden="1">
      <c r="A325">
        <v>2609188309</v>
      </c>
      <c r="B325">
        <v>1144011100</v>
      </c>
      <c r="C325" t="s">
        <v>134</v>
      </c>
      <c r="D325" t="s">
        <v>0</v>
      </c>
      <c r="E325" t="s">
        <v>94</v>
      </c>
      <c r="F325" t="s">
        <v>135</v>
      </c>
      <c r="G325">
        <v>1</v>
      </c>
      <c r="H325">
        <v>1</v>
      </c>
      <c r="I325">
        <v>43000</v>
      </c>
      <c r="J325">
        <v>0</v>
      </c>
      <c r="K325" t="s">
        <v>507</v>
      </c>
      <c r="L325">
        <v>75</v>
      </c>
      <c r="M325">
        <v>22</v>
      </c>
      <c r="N325">
        <v>1954</v>
      </c>
      <c r="O325">
        <v>38.479999999999997</v>
      </c>
      <c r="P325">
        <v>11</v>
      </c>
      <c r="Q325">
        <v>3909</v>
      </c>
      <c r="R325" t="s">
        <v>136</v>
      </c>
      <c r="S325" s="40">
        <v>46072</v>
      </c>
      <c r="T325">
        <v>37.551091999999997</v>
      </c>
      <c r="U325">
        <v>126.934428</v>
      </c>
      <c r="V325" t="s">
        <v>522</v>
      </c>
      <c r="W325" t="s">
        <v>414</v>
      </c>
      <c r="X325">
        <v>1</v>
      </c>
      <c r="Y325">
        <v>0</v>
      </c>
      <c r="Z325">
        <v>0</v>
      </c>
      <c r="AA325" t="s">
        <v>113</v>
      </c>
      <c r="AB325" t="s">
        <v>523</v>
      </c>
      <c r="AC325">
        <v>43000</v>
      </c>
      <c r="AD325">
        <v>0</v>
      </c>
      <c r="AE325" t="s">
        <v>101</v>
      </c>
      <c r="AF325" t="s">
        <v>475</v>
      </c>
      <c r="AG325" t="s">
        <v>476</v>
      </c>
      <c r="AH325">
        <v>163.81954637736581</v>
      </c>
      <c r="AI325" t="s">
        <v>47</v>
      </c>
      <c r="AJ325" t="s">
        <v>104</v>
      </c>
      <c r="AK325">
        <v>1271.8041472437619</v>
      </c>
      <c r="AL325" t="s">
        <v>105</v>
      </c>
      <c r="AM325" s="41" t="s">
        <v>524</v>
      </c>
    </row>
    <row r="326" spans="1:45" hidden="1">
      <c r="A326">
        <v>2607121681</v>
      </c>
      <c r="B326">
        <v>1144011100</v>
      </c>
      <c r="C326" t="s">
        <v>134</v>
      </c>
      <c r="D326" t="s">
        <v>0</v>
      </c>
      <c r="E326" t="s">
        <v>94</v>
      </c>
      <c r="F326" t="s">
        <v>119</v>
      </c>
      <c r="G326">
        <v>1</v>
      </c>
      <c r="H326">
        <v>1</v>
      </c>
      <c r="I326">
        <v>43000</v>
      </c>
      <c r="J326">
        <v>0</v>
      </c>
      <c r="K326" t="s">
        <v>507</v>
      </c>
      <c r="L326">
        <v>38</v>
      </c>
      <c r="M326">
        <v>11</v>
      </c>
      <c r="N326">
        <v>3909</v>
      </c>
      <c r="O326">
        <v>38.43</v>
      </c>
      <c r="P326">
        <v>11</v>
      </c>
      <c r="Q326">
        <v>3909</v>
      </c>
      <c r="R326" t="s">
        <v>154</v>
      </c>
      <c r="S326" s="40">
        <v>46058</v>
      </c>
      <c r="T326">
        <v>37.551091999999997</v>
      </c>
      <c r="U326">
        <v>126.934428</v>
      </c>
      <c r="V326" t="s">
        <v>525</v>
      </c>
      <c r="W326" t="s">
        <v>526</v>
      </c>
      <c r="X326">
        <v>3</v>
      </c>
      <c r="Y326" t="s">
        <v>304</v>
      </c>
      <c r="Z326" t="s">
        <v>507</v>
      </c>
      <c r="AA326" t="s">
        <v>124</v>
      </c>
      <c r="AB326" t="s">
        <v>527</v>
      </c>
      <c r="AC326">
        <v>43000</v>
      </c>
      <c r="AD326">
        <v>0</v>
      </c>
      <c r="AE326" t="s">
        <v>101</v>
      </c>
      <c r="AF326" t="s">
        <v>475</v>
      </c>
      <c r="AG326" t="s">
        <v>476</v>
      </c>
      <c r="AH326">
        <v>163.81954637736581</v>
      </c>
      <c r="AI326" t="s">
        <v>47</v>
      </c>
      <c r="AJ326" t="s">
        <v>104</v>
      </c>
      <c r="AK326">
        <v>1271.8041472437619</v>
      </c>
      <c r="AL326" t="s">
        <v>105</v>
      </c>
      <c r="AM326" s="41" t="s">
        <v>524</v>
      </c>
    </row>
    <row r="327" spans="1:45" hidden="1">
      <c r="A327">
        <v>2606994862</v>
      </c>
      <c r="B327">
        <v>1144011400</v>
      </c>
      <c r="C327" t="s">
        <v>134</v>
      </c>
      <c r="D327" t="s">
        <v>0</v>
      </c>
      <c r="E327" t="s">
        <v>94</v>
      </c>
      <c r="F327" t="s">
        <v>135</v>
      </c>
      <c r="G327">
        <v>2</v>
      </c>
      <c r="H327">
        <v>2</v>
      </c>
      <c r="I327">
        <v>55000</v>
      </c>
      <c r="J327">
        <v>0</v>
      </c>
      <c r="K327" t="s">
        <v>528</v>
      </c>
      <c r="L327">
        <v>63</v>
      </c>
      <c r="M327">
        <v>19</v>
      </c>
      <c r="N327">
        <v>2894</v>
      </c>
      <c r="O327">
        <v>49</v>
      </c>
      <c r="P327">
        <v>14</v>
      </c>
      <c r="Q327">
        <v>3929</v>
      </c>
      <c r="R327" t="s">
        <v>145</v>
      </c>
      <c r="S327" s="40">
        <v>46058</v>
      </c>
      <c r="T327">
        <v>37.548369000000001</v>
      </c>
      <c r="U327">
        <v>126.92944799999999</v>
      </c>
      <c r="V327" t="s">
        <v>478</v>
      </c>
      <c r="W327" t="s">
        <v>479</v>
      </c>
      <c r="X327">
        <v>1</v>
      </c>
      <c r="Y327">
        <v>0</v>
      </c>
      <c r="Z327">
        <v>0</v>
      </c>
      <c r="AA327" t="s">
        <v>176</v>
      </c>
      <c r="AB327" t="s">
        <v>480</v>
      </c>
      <c r="AC327">
        <v>55000</v>
      </c>
      <c r="AD327">
        <v>0</v>
      </c>
      <c r="AE327" t="s">
        <v>101</v>
      </c>
      <c r="AF327" t="s">
        <v>481</v>
      </c>
      <c r="AG327" t="s">
        <v>103</v>
      </c>
      <c r="AH327">
        <v>353.10489569662644</v>
      </c>
      <c r="AI327" t="s">
        <v>47</v>
      </c>
      <c r="AJ327" t="s">
        <v>104</v>
      </c>
      <c r="AK327">
        <v>1239.2769741190828</v>
      </c>
      <c r="AL327" t="s">
        <v>105</v>
      </c>
      <c r="AM327" s="41" t="s">
        <v>482</v>
      </c>
    </row>
    <row r="328" spans="1:45">
      <c r="A328">
        <v>2609865860</v>
      </c>
      <c r="B328">
        <v>1144012000</v>
      </c>
      <c r="C328" t="s">
        <v>93</v>
      </c>
      <c r="D328" t="s">
        <v>0</v>
      </c>
      <c r="E328" t="s">
        <v>94</v>
      </c>
      <c r="F328" t="s">
        <v>95</v>
      </c>
      <c r="G328">
        <v>1</v>
      </c>
      <c r="H328">
        <v>2</v>
      </c>
      <c r="I328">
        <v>1360000</v>
      </c>
      <c r="J328">
        <v>0</v>
      </c>
      <c r="K328" t="s">
        <v>365</v>
      </c>
      <c r="L328">
        <v>527</v>
      </c>
      <c r="M328">
        <v>159</v>
      </c>
      <c r="N328">
        <v>8553</v>
      </c>
      <c r="O328">
        <v>527.47</v>
      </c>
      <c r="P328">
        <v>159</v>
      </c>
      <c r="Q328">
        <v>8553</v>
      </c>
      <c r="R328" t="s">
        <v>154</v>
      </c>
      <c r="S328" s="40">
        <v>46074</v>
      </c>
      <c r="T328">
        <v>37.551758999999997</v>
      </c>
      <c r="U328">
        <v>126.92364600000001</v>
      </c>
      <c r="V328" t="s">
        <v>366</v>
      </c>
      <c r="W328" t="s">
        <v>367</v>
      </c>
      <c r="X328">
        <v>1</v>
      </c>
      <c r="Y328">
        <v>0</v>
      </c>
      <c r="Z328">
        <v>0</v>
      </c>
      <c r="AA328" t="s">
        <v>139</v>
      </c>
      <c r="AB328" t="s">
        <v>255</v>
      </c>
      <c r="AC328">
        <v>1360000</v>
      </c>
      <c r="AD328">
        <v>0</v>
      </c>
      <c r="AE328" t="s">
        <v>101</v>
      </c>
      <c r="AF328" t="s">
        <v>242</v>
      </c>
      <c r="AG328" t="s">
        <v>103</v>
      </c>
      <c r="AH328">
        <v>432.05944521050645</v>
      </c>
      <c r="AI328" t="s">
        <v>47</v>
      </c>
      <c r="AJ328" t="s">
        <v>104</v>
      </c>
      <c r="AK328">
        <v>591.39949347836944</v>
      </c>
      <c r="AL328">
        <v>1</v>
      </c>
      <c r="AM328" s="41" t="s">
        <v>368</v>
      </c>
      <c r="AN328">
        <f>IFERROR(VALUE(LEFT($W328,FIND("년",$W328)-1)),"")</f>
        <v>25</v>
      </c>
      <c r="AO328" t="str">
        <f>IFERROR(IF(FIND("년",$W328)=3,MID($W328,FIND("년",$W328)+1,FIND("년",$W328)-1),MID($W328,FIND("년",$W328)+1,FIND("년",$W328))),"")</f>
        <v>이상</v>
      </c>
      <c r="AP328">
        <f>IFERROR(IF($AN328&lt;11,10,IF(AND($AN328&lt;26,$AO328="이내"),25,26)),"")</f>
        <v>26</v>
      </c>
      <c r="AQ328">
        <f>IFERROR(IF($P328&lt;10,9,IF($P328&lt;20,10,IF($P328&lt;30,20,IF($P328&lt;40,30,40)))),"")</f>
        <v>40</v>
      </c>
      <c r="AR328" t="str">
        <f>IFERROR(IF($D328="상가",IF($G328="1","1층",IF($G328="전체층","전체층",IF(LEFT($G328,1)="B","B1",IF($G328&lt;6,"저",IF($G328/$H328&lt;=$BC$9,"저",IF($G328/$H328&lt;=$BC$10,"중","고")))))),IF(LEFT($G328,1)="B","B1",IF($H328&lt;6,"저",IF($G328/$H328&lt;=$BC$2,"저",IF($G328/$H328&lt;=$BC$3,"중","고"))))),"")</f>
        <v>저</v>
      </c>
      <c r="AS328">
        <f>IFERROR(ACOS(SIN(RADIANS(거래사례!$S$11))*SIN(RADIANS($T328))+COS(RADIANS(거래사례!$S$11))*COS(RADIANS($T328))*COS(RADIANS($U328-거래사례!$P$11)))*6371000,"")</f>
        <v>1018.0934088558184</v>
      </c>
    </row>
    <row r="329" spans="1:45" hidden="1">
      <c r="A329">
        <v>2609170109</v>
      </c>
      <c r="B329">
        <v>1144011100</v>
      </c>
      <c r="C329" t="s">
        <v>134</v>
      </c>
      <c r="D329" t="s">
        <v>0</v>
      </c>
      <c r="E329" t="s">
        <v>94</v>
      </c>
      <c r="F329" t="s">
        <v>135</v>
      </c>
      <c r="G329">
        <v>1</v>
      </c>
      <c r="H329">
        <v>1</v>
      </c>
      <c r="I329">
        <v>49500</v>
      </c>
      <c r="J329">
        <v>0</v>
      </c>
      <c r="K329" t="s">
        <v>533</v>
      </c>
      <c r="L329">
        <v>72</v>
      </c>
      <c r="M329">
        <v>21</v>
      </c>
      <c r="N329">
        <v>2357</v>
      </c>
      <c r="O329">
        <v>38.43</v>
      </c>
      <c r="P329">
        <v>11</v>
      </c>
      <c r="Q329">
        <v>4500</v>
      </c>
      <c r="R329" t="s">
        <v>136</v>
      </c>
      <c r="S329" s="40">
        <v>46072</v>
      </c>
      <c r="T329">
        <v>37.551091999999997</v>
      </c>
      <c r="U329">
        <v>126.934428</v>
      </c>
      <c r="V329" t="s">
        <v>534</v>
      </c>
      <c r="W329" t="s">
        <v>535</v>
      </c>
      <c r="X329">
        <v>1</v>
      </c>
      <c r="Y329">
        <v>0</v>
      </c>
      <c r="Z329">
        <v>0</v>
      </c>
      <c r="AA329" t="s">
        <v>176</v>
      </c>
      <c r="AB329" t="s">
        <v>523</v>
      </c>
      <c r="AC329">
        <v>49500</v>
      </c>
      <c r="AD329">
        <v>0</v>
      </c>
      <c r="AE329" t="s">
        <v>101</v>
      </c>
      <c r="AF329" t="s">
        <v>475</v>
      </c>
      <c r="AG329" t="s">
        <v>476</v>
      </c>
      <c r="AH329">
        <v>163.81954637736581</v>
      </c>
      <c r="AI329" t="s">
        <v>47</v>
      </c>
      <c r="AJ329" t="s">
        <v>104</v>
      </c>
      <c r="AK329">
        <v>1271.8041472437619</v>
      </c>
      <c r="AL329" t="s">
        <v>105</v>
      </c>
      <c r="AM329" s="41" t="s">
        <v>524</v>
      </c>
    </row>
    <row r="330" spans="1:45" hidden="1">
      <c r="A330">
        <v>2606832378</v>
      </c>
      <c r="B330">
        <v>1144011100</v>
      </c>
      <c r="C330" t="s">
        <v>134</v>
      </c>
      <c r="D330" t="s">
        <v>0</v>
      </c>
      <c r="E330" t="s">
        <v>94</v>
      </c>
      <c r="F330" t="s">
        <v>95</v>
      </c>
      <c r="G330" t="s">
        <v>35</v>
      </c>
      <c r="H330">
        <v>1</v>
      </c>
      <c r="I330">
        <v>49500</v>
      </c>
      <c r="J330">
        <v>0</v>
      </c>
      <c r="K330" t="s">
        <v>533</v>
      </c>
      <c r="L330">
        <v>38</v>
      </c>
      <c r="M330">
        <v>11</v>
      </c>
      <c r="N330">
        <v>4500</v>
      </c>
      <c r="O330">
        <v>38.43</v>
      </c>
      <c r="P330">
        <v>11</v>
      </c>
      <c r="Q330">
        <v>4500</v>
      </c>
      <c r="R330" t="s">
        <v>154</v>
      </c>
      <c r="S330" s="40">
        <v>46057</v>
      </c>
      <c r="T330">
        <v>37.551091999999997</v>
      </c>
      <c r="U330">
        <v>126.934428</v>
      </c>
      <c r="V330" t="s">
        <v>536</v>
      </c>
      <c r="W330" t="s">
        <v>537</v>
      </c>
      <c r="X330">
        <v>1</v>
      </c>
      <c r="Y330">
        <v>0</v>
      </c>
      <c r="Z330">
        <v>0</v>
      </c>
      <c r="AA330" t="s">
        <v>139</v>
      </c>
      <c r="AB330" t="s">
        <v>538</v>
      </c>
      <c r="AC330">
        <v>49500</v>
      </c>
      <c r="AD330">
        <v>0</v>
      </c>
      <c r="AE330" t="s">
        <v>101</v>
      </c>
      <c r="AF330" t="s">
        <v>475</v>
      </c>
      <c r="AG330" t="s">
        <v>476</v>
      </c>
      <c r="AH330">
        <v>163.81954637736581</v>
      </c>
      <c r="AI330" t="s">
        <v>47</v>
      </c>
      <c r="AJ330" t="s">
        <v>104</v>
      </c>
      <c r="AK330">
        <v>1271.8041472437619</v>
      </c>
      <c r="AL330" t="s">
        <v>105</v>
      </c>
      <c r="AM330" s="41" t="s">
        <v>524</v>
      </c>
    </row>
    <row r="331" spans="1:45">
      <c r="A331">
        <v>2606237013</v>
      </c>
      <c r="B331">
        <v>1144012000</v>
      </c>
      <c r="C331" t="s">
        <v>93</v>
      </c>
      <c r="D331" t="s">
        <v>0</v>
      </c>
      <c r="E331" t="s">
        <v>94</v>
      </c>
      <c r="F331" t="s">
        <v>108</v>
      </c>
      <c r="G331">
        <v>1</v>
      </c>
      <c r="H331">
        <v>2</v>
      </c>
      <c r="I331">
        <v>350000</v>
      </c>
      <c r="J331">
        <v>0</v>
      </c>
      <c r="K331" t="s">
        <v>252</v>
      </c>
      <c r="L331">
        <v>133</v>
      </c>
      <c r="M331">
        <v>40</v>
      </c>
      <c r="N331">
        <v>8750</v>
      </c>
      <c r="O331">
        <v>133</v>
      </c>
      <c r="P331">
        <v>40</v>
      </c>
      <c r="Q331">
        <v>8750</v>
      </c>
      <c r="R331" t="s">
        <v>136</v>
      </c>
      <c r="S331" s="40">
        <v>46055</v>
      </c>
      <c r="T331">
        <v>37.551873999999998</v>
      </c>
      <c r="U331">
        <v>126.92089799999999</v>
      </c>
      <c r="V331" t="s">
        <v>369</v>
      </c>
      <c r="W331" t="s">
        <v>370</v>
      </c>
      <c r="X331">
        <v>1</v>
      </c>
      <c r="Y331">
        <v>0</v>
      </c>
      <c r="Z331">
        <v>0</v>
      </c>
      <c r="AA331" t="s">
        <v>139</v>
      </c>
      <c r="AB331" t="s">
        <v>337</v>
      </c>
      <c r="AC331">
        <v>350000</v>
      </c>
      <c r="AD331">
        <v>0</v>
      </c>
      <c r="AE331" t="s">
        <v>101</v>
      </c>
      <c r="AF331" t="s">
        <v>242</v>
      </c>
      <c r="AG331" t="s">
        <v>103</v>
      </c>
      <c r="AH331">
        <v>492.93402730014134</v>
      </c>
      <c r="AI331" t="s">
        <v>47</v>
      </c>
      <c r="AJ331" t="s">
        <v>104</v>
      </c>
      <c r="AK331">
        <v>311.79637576106671</v>
      </c>
      <c r="AL331">
        <v>1</v>
      </c>
      <c r="AM331" s="41" t="s">
        <v>371</v>
      </c>
      <c r="AN331">
        <f t="shared" ref="AN331:AN333" si="160">IFERROR(VALUE(LEFT($W331,FIND("년",$W331)-1)),"")</f>
        <v>15</v>
      </c>
      <c r="AO331" t="str">
        <f t="shared" ref="AO331:AO333" si="161">IFERROR(IF(FIND("년",$W331)=3,MID($W331,FIND("년",$W331)+1,FIND("년",$W331)-1),MID($W331,FIND("년",$W331)+1,FIND("년",$W331))),"")</f>
        <v>이내</v>
      </c>
      <c r="AP331">
        <f t="shared" ref="AP331:AP333" si="162">IFERROR(IF($AN331&lt;11,10,IF(AND($AN331&lt;26,$AO331="이내"),25,26)),"")</f>
        <v>25</v>
      </c>
      <c r="AQ331">
        <f t="shared" ref="AQ331:AQ333" si="163">IFERROR(IF($P331&lt;10,9,IF($P331&lt;20,10,IF($P331&lt;30,20,IF($P331&lt;40,30,40)))),"")</f>
        <v>40</v>
      </c>
      <c r="AR331" t="str">
        <f t="shared" ref="AR331:AR333" si="164">IFERROR(IF($D331="상가",IF($G331="1","1층",IF($G331="전체층","전체층",IF(LEFT($G331,1)="B","B1",IF($G331&lt;6,"저",IF($G331/$H331&lt;=$BC$9,"저",IF($G331/$H331&lt;=$BC$10,"중","고")))))),IF(LEFT($G331,1)="B","B1",IF($H331&lt;6,"저",IF($G331/$H331&lt;=$BC$2,"저",IF($G331/$H331&lt;=$BC$3,"중","고"))))),"")</f>
        <v>저</v>
      </c>
      <c r="AS331">
        <f>IFERROR(ACOS(SIN(RADIANS(거래사례!$S$11))*SIN(RADIANS($T331))+COS(RADIANS(거래사례!$S$11))*COS(RADIANS($T331))*COS(RADIANS($U331-거래사례!$P$11)))*6371000,"")</f>
        <v>1143.7999736594604</v>
      </c>
    </row>
    <row r="332" spans="1:45">
      <c r="A332">
        <v>2606237013</v>
      </c>
      <c r="B332">
        <v>1144012000</v>
      </c>
      <c r="C332" t="s">
        <v>93</v>
      </c>
      <c r="D332" t="s">
        <v>0</v>
      </c>
      <c r="E332" t="s">
        <v>94</v>
      </c>
      <c r="F332" t="s">
        <v>108</v>
      </c>
      <c r="G332">
        <v>1</v>
      </c>
      <c r="H332">
        <v>2</v>
      </c>
      <c r="I332">
        <v>350000</v>
      </c>
      <c r="J332">
        <v>0</v>
      </c>
      <c r="K332" t="s">
        <v>252</v>
      </c>
      <c r="L332">
        <v>133</v>
      </c>
      <c r="M332">
        <v>40</v>
      </c>
      <c r="N332">
        <v>8750</v>
      </c>
      <c r="O332">
        <v>133</v>
      </c>
      <c r="P332">
        <v>40</v>
      </c>
      <c r="Q332">
        <v>8750</v>
      </c>
      <c r="R332" t="s">
        <v>136</v>
      </c>
      <c r="S332" s="40">
        <v>46055</v>
      </c>
      <c r="T332">
        <v>37.551873999999998</v>
      </c>
      <c r="U332">
        <v>126.92089799999999</v>
      </c>
      <c r="V332" t="s">
        <v>369</v>
      </c>
      <c r="W332" t="s">
        <v>370</v>
      </c>
      <c r="X332">
        <v>1</v>
      </c>
      <c r="Y332">
        <v>0</v>
      </c>
      <c r="Z332">
        <v>0</v>
      </c>
      <c r="AA332" t="s">
        <v>139</v>
      </c>
      <c r="AB332" t="s">
        <v>337</v>
      </c>
      <c r="AC332">
        <v>350000</v>
      </c>
      <c r="AD332">
        <v>0</v>
      </c>
      <c r="AE332" t="s">
        <v>101</v>
      </c>
      <c r="AF332" t="s">
        <v>242</v>
      </c>
      <c r="AG332" t="s">
        <v>103</v>
      </c>
      <c r="AH332">
        <v>492.93402730014134</v>
      </c>
      <c r="AI332" t="s">
        <v>47</v>
      </c>
      <c r="AJ332" t="s">
        <v>104</v>
      </c>
      <c r="AK332">
        <v>311.79637576106671</v>
      </c>
      <c r="AL332">
        <v>1</v>
      </c>
      <c r="AM332" s="41" t="s">
        <v>371</v>
      </c>
      <c r="AN332">
        <f t="shared" si="160"/>
        <v>15</v>
      </c>
      <c r="AO332" t="str">
        <f t="shared" si="161"/>
        <v>이내</v>
      </c>
      <c r="AP332">
        <f t="shared" si="162"/>
        <v>25</v>
      </c>
      <c r="AQ332">
        <f t="shared" si="163"/>
        <v>40</v>
      </c>
      <c r="AR332" t="str">
        <f t="shared" si="164"/>
        <v>저</v>
      </c>
      <c r="AS332">
        <f>IFERROR(ACOS(SIN(RADIANS(거래사례!$S$11))*SIN(RADIANS($T332))+COS(RADIANS(거래사례!$S$11))*COS(RADIANS($T332))*COS(RADIANS($U332-거래사례!$P$11)))*6371000,"")</f>
        <v>1143.7999736594604</v>
      </c>
    </row>
    <row r="333" spans="1:45">
      <c r="A333">
        <v>2606237013</v>
      </c>
      <c r="B333">
        <v>1144012000</v>
      </c>
      <c r="C333" t="s">
        <v>93</v>
      </c>
      <c r="D333" t="s">
        <v>0</v>
      </c>
      <c r="E333" t="s">
        <v>94</v>
      </c>
      <c r="F333" t="s">
        <v>108</v>
      </c>
      <c r="G333">
        <v>1</v>
      </c>
      <c r="H333">
        <v>2</v>
      </c>
      <c r="I333">
        <v>350000</v>
      </c>
      <c r="J333">
        <v>0</v>
      </c>
      <c r="K333" t="s">
        <v>252</v>
      </c>
      <c r="L333">
        <v>133</v>
      </c>
      <c r="M333">
        <v>40</v>
      </c>
      <c r="N333">
        <v>8750</v>
      </c>
      <c r="O333">
        <v>133</v>
      </c>
      <c r="P333">
        <v>40</v>
      </c>
      <c r="Q333">
        <v>8750</v>
      </c>
      <c r="R333" t="s">
        <v>136</v>
      </c>
      <c r="S333" s="40">
        <v>46055</v>
      </c>
      <c r="T333">
        <v>37.551873999999998</v>
      </c>
      <c r="U333">
        <v>126.92089799999999</v>
      </c>
      <c r="V333" t="s">
        <v>369</v>
      </c>
      <c r="W333" t="s">
        <v>370</v>
      </c>
      <c r="X333">
        <v>1</v>
      </c>
      <c r="Y333">
        <v>0</v>
      </c>
      <c r="Z333">
        <v>0</v>
      </c>
      <c r="AA333" t="s">
        <v>139</v>
      </c>
      <c r="AB333" t="s">
        <v>337</v>
      </c>
      <c r="AC333">
        <v>350000</v>
      </c>
      <c r="AD333">
        <v>0</v>
      </c>
      <c r="AE333" t="s">
        <v>101</v>
      </c>
      <c r="AF333" t="s">
        <v>242</v>
      </c>
      <c r="AG333" t="s">
        <v>103</v>
      </c>
      <c r="AH333">
        <v>492.93402730014134</v>
      </c>
      <c r="AI333" t="s">
        <v>47</v>
      </c>
      <c r="AJ333" t="s">
        <v>104</v>
      </c>
      <c r="AK333">
        <v>311.79637576106671</v>
      </c>
      <c r="AL333">
        <v>1</v>
      </c>
      <c r="AM333" s="41" t="s">
        <v>371</v>
      </c>
      <c r="AN333">
        <f t="shared" si="160"/>
        <v>15</v>
      </c>
      <c r="AO333" t="str">
        <f t="shared" si="161"/>
        <v>이내</v>
      </c>
      <c r="AP333">
        <f t="shared" si="162"/>
        <v>25</v>
      </c>
      <c r="AQ333">
        <f t="shared" si="163"/>
        <v>40</v>
      </c>
      <c r="AR333" t="str">
        <f t="shared" si="164"/>
        <v>저</v>
      </c>
      <c r="AS333">
        <f>IFERROR(ACOS(SIN(RADIANS(거래사례!$S$11))*SIN(RADIANS($T333))+COS(RADIANS(거래사례!$S$11))*COS(RADIANS($T333))*COS(RADIANS($U333-거래사례!$P$11)))*6371000,"")</f>
        <v>1143.7999736594604</v>
      </c>
    </row>
    <row r="334" spans="1:45" hidden="1">
      <c r="A334">
        <v>2610882783</v>
      </c>
      <c r="B334">
        <v>1144012000</v>
      </c>
      <c r="C334" t="s">
        <v>134</v>
      </c>
      <c r="D334" t="s">
        <v>0</v>
      </c>
      <c r="E334" t="s">
        <v>94</v>
      </c>
      <c r="F334" t="s">
        <v>135</v>
      </c>
      <c r="G334" t="s">
        <v>35</v>
      </c>
      <c r="H334">
        <v>19</v>
      </c>
      <c r="I334">
        <v>34000</v>
      </c>
      <c r="J334">
        <v>0</v>
      </c>
      <c r="K334" t="s">
        <v>179</v>
      </c>
      <c r="L334">
        <v>45</v>
      </c>
      <c r="M334">
        <v>13</v>
      </c>
      <c r="N334">
        <v>2615</v>
      </c>
      <c r="O334">
        <v>25.66</v>
      </c>
      <c r="P334">
        <v>7</v>
      </c>
      <c r="Q334">
        <v>4857</v>
      </c>
      <c r="R334" t="s">
        <v>161</v>
      </c>
      <c r="S334" s="40">
        <v>46079</v>
      </c>
      <c r="T334">
        <v>37.553798999999998</v>
      </c>
      <c r="U334">
        <v>126.92370099999999</v>
      </c>
      <c r="V334" t="s">
        <v>260</v>
      </c>
      <c r="W334" t="s">
        <v>261</v>
      </c>
      <c r="X334">
        <v>1</v>
      </c>
      <c r="Y334">
        <v>0</v>
      </c>
      <c r="Z334">
        <v>0</v>
      </c>
      <c r="AA334" t="s">
        <v>222</v>
      </c>
      <c r="AB334" t="s">
        <v>255</v>
      </c>
      <c r="AC334">
        <v>34000</v>
      </c>
      <c r="AD334">
        <v>0</v>
      </c>
      <c r="AE334" t="s">
        <v>101</v>
      </c>
      <c r="AF334" t="s">
        <v>165</v>
      </c>
      <c r="AG334" t="s">
        <v>166</v>
      </c>
      <c r="AH334">
        <v>344.14694489895248</v>
      </c>
      <c r="AI334" t="s">
        <v>47</v>
      </c>
      <c r="AJ334" t="s">
        <v>104</v>
      </c>
      <c r="AK334">
        <v>690.06417067304881</v>
      </c>
      <c r="AL334" t="s">
        <v>105</v>
      </c>
      <c r="AM334" s="41" t="s">
        <v>167</v>
      </c>
    </row>
    <row r="335" spans="1:45" hidden="1">
      <c r="A335">
        <v>2609957730</v>
      </c>
      <c r="B335">
        <v>1144012000</v>
      </c>
      <c r="C335" t="s">
        <v>93</v>
      </c>
      <c r="D335" t="s">
        <v>0</v>
      </c>
      <c r="E335" t="s">
        <v>94</v>
      </c>
      <c r="F335" t="s">
        <v>119</v>
      </c>
      <c r="G335" t="s">
        <v>35</v>
      </c>
      <c r="H335">
        <v>19</v>
      </c>
      <c r="I335">
        <v>34000</v>
      </c>
      <c r="J335">
        <v>0</v>
      </c>
      <c r="K335" t="s">
        <v>179</v>
      </c>
      <c r="L335">
        <v>45</v>
      </c>
      <c r="M335">
        <v>13</v>
      </c>
      <c r="N335">
        <v>2615</v>
      </c>
      <c r="O335">
        <v>25.66</v>
      </c>
      <c r="P335">
        <v>7</v>
      </c>
      <c r="Q335">
        <v>4857</v>
      </c>
      <c r="R335" t="s">
        <v>161</v>
      </c>
      <c r="S335" s="40">
        <v>46075</v>
      </c>
      <c r="T335">
        <v>37.553798999999998</v>
      </c>
      <c r="U335">
        <v>126.92370099999999</v>
      </c>
      <c r="V335" t="s">
        <v>262</v>
      </c>
      <c r="W335" t="s">
        <v>263</v>
      </c>
      <c r="X335">
        <v>1</v>
      </c>
      <c r="Y335">
        <v>0</v>
      </c>
      <c r="Z335">
        <v>0</v>
      </c>
      <c r="AA335" t="s">
        <v>124</v>
      </c>
      <c r="AB335" t="s">
        <v>264</v>
      </c>
      <c r="AC335">
        <v>34000</v>
      </c>
      <c r="AD335">
        <v>0</v>
      </c>
      <c r="AE335" t="s">
        <v>101</v>
      </c>
      <c r="AF335" t="s">
        <v>165</v>
      </c>
      <c r="AG335" t="s">
        <v>166</v>
      </c>
      <c r="AH335">
        <v>344.14694489895248</v>
      </c>
      <c r="AI335" t="s">
        <v>47</v>
      </c>
      <c r="AJ335" t="s">
        <v>104</v>
      </c>
      <c r="AK335">
        <v>690.06417067304881</v>
      </c>
      <c r="AL335" t="s">
        <v>105</v>
      </c>
      <c r="AM335" s="41" t="s">
        <v>167</v>
      </c>
    </row>
    <row r="336" spans="1:45" hidden="1">
      <c r="A336">
        <v>2611238674</v>
      </c>
      <c r="B336">
        <v>1144011100</v>
      </c>
      <c r="C336" t="s">
        <v>134</v>
      </c>
      <c r="D336" t="s">
        <v>0</v>
      </c>
      <c r="E336" t="s">
        <v>94</v>
      </c>
      <c r="F336" t="s">
        <v>128</v>
      </c>
      <c r="G336">
        <v>1</v>
      </c>
      <c r="H336">
        <v>1</v>
      </c>
      <c r="I336">
        <v>50000</v>
      </c>
      <c r="J336">
        <v>0</v>
      </c>
      <c r="K336" t="s">
        <v>168</v>
      </c>
      <c r="L336">
        <v>43</v>
      </c>
      <c r="M336">
        <v>13</v>
      </c>
      <c r="N336">
        <v>3846</v>
      </c>
      <c r="O336">
        <v>33.21</v>
      </c>
      <c r="P336">
        <v>10</v>
      </c>
      <c r="Q336">
        <v>5000</v>
      </c>
      <c r="R336" t="s">
        <v>136</v>
      </c>
      <c r="S336" s="40">
        <v>46081</v>
      </c>
      <c r="T336">
        <v>37.551304999999999</v>
      </c>
      <c r="U336">
        <v>126.935501</v>
      </c>
      <c r="V336" t="s">
        <v>543</v>
      </c>
      <c r="W336" t="s">
        <v>544</v>
      </c>
      <c r="X336">
        <v>1</v>
      </c>
      <c r="Y336">
        <v>0</v>
      </c>
      <c r="Z336">
        <v>0</v>
      </c>
      <c r="AA336" t="s">
        <v>113</v>
      </c>
      <c r="AB336" t="s">
        <v>545</v>
      </c>
      <c r="AC336">
        <v>50000</v>
      </c>
      <c r="AD336">
        <v>0</v>
      </c>
      <c r="AE336" t="s">
        <v>101</v>
      </c>
      <c r="AF336" t="s">
        <v>475</v>
      </c>
      <c r="AG336" t="s">
        <v>476</v>
      </c>
      <c r="AH336">
        <v>108.23715464523086</v>
      </c>
      <c r="AI336" t="s">
        <v>47</v>
      </c>
      <c r="AJ336" t="s">
        <v>104</v>
      </c>
      <c r="AK336">
        <v>1161.6540354883582</v>
      </c>
      <c r="AL336" t="s">
        <v>105</v>
      </c>
      <c r="AM336" s="41" t="s">
        <v>546</v>
      </c>
    </row>
    <row r="337" spans="1:45" hidden="1">
      <c r="A337">
        <v>2610688524</v>
      </c>
      <c r="B337">
        <v>1144012000</v>
      </c>
      <c r="C337" t="s">
        <v>134</v>
      </c>
      <c r="D337" t="s">
        <v>0</v>
      </c>
      <c r="E337" t="s">
        <v>94</v>
      </c>
      <c r="F337" t="s">
        <v>135</v>
      </c>
      <c r="G337">
        <v>1</v>
      </c>
      <c r="H337">
        <v>12</v>
      </c>
      <c r="I337">
        <v>40000</v>
      </c>
      <c r="J337">
        <v>0</v>
      </c>
      <c r="K337" t="s">
        <v>444</v>
      </c>
      <c r="L337">
        <v>27</v>
      </c>
      <c r="M337">
        <v>8</v>
      </c>
      <c r="N337">
        <v>5000</v>
      </c>
      <c r="O337">
        <v>27.13</v>
      </c>
      <c r="P337">
        <v>8</v>
      </c>
      <c r="Q337">
        <v>5000</v>
      </c>
      <c r="R337" t="s">
        <v>96</v>
      </c>
      <c r="S337" s="40">
        <v>46078</v>
      </c>
      <c r="T337">
        <v>37.557372000000001</v>
      </c>
      <c r="U337">
        <v>126.916798</v>
      </c>
      <c r="V337" t="s">
        <v>547</v>
      </c>
      <c r="W337" t="s">
        <v>548</v>
      </c>
      <c r="X337">
        <v>1</v>
      </c>
      <c r="Y337">
        <v>0</v>
      </c>
      <c r="Z337">
        <v>0</v>
      </c>
      <c r="AA337" t="s">
        <v>139</v>
      </c>
      <c r="AB337" t="s">
        <v>492</v>
      </c>
      <c r="AC337">
        <v>40000</v>
      </c>
      <c r="AD337">
        <v>0</v>
      </c>
      <c r="AE337" t="s">
        <v>101</v>
      </c>
      <c r="AF337" t="s">
        <v>102</v>
      </c>
      <c r="AG337" t="s">
        <v>103</v>
      </c>
      <c r="AH337">
        <v>767.06448863561582</v>
      </c>
      <c r="AI337" t="s">
        <v>47</v>
      </c>
      <c r="AJ337" t="s">
        <v>104</v>
      </c>
      <c r="AK337">
        <v>797.1523313902012</v>
      </c>
      <c r="AL337" t="s">
        <v>105</v>
      </c>
      <c r="AM337" s="41" t="s">
        <v>472</v>
      </c>
    </row>
    <row r="338" spans="1:45">
      <c r="A338">
        <v>2606237013</v>
      </c>
      <c r="B338">
        <v>1144012000</v>
      </c>
      <c r="C338" t="s">
        <v>93</v>
      </c>
      <c r="D338" t="s">
        <v>0</v>
      </c>
      <c r="E338" t="s">
        <v>94</v>
      </c>
      <c r="F338" t="s">
        <v>108</v>
      </c>
      <c r="G338">
        <v>1</v>
      </c>
      <c r="H338">
        <v>2</v>
      </c>
      <c r="I338">
        <v>350000</v>
      </c>
      <c r="J338">
        <v>0</v>
      </c>
      <c r="K338" t="s">
        <v>252</v>
      </c>
      <c r="L338">
        <v>133</v>
      </c>
      <c r="M338">
        <v>40</v>
      </c>
      <c r="N338">
        <v>8750</v>
      </c>
      <c r="O338">
        <v>133</v>
      </c>
      <c r="P338">
        <v>40</v>
      </c>
      <c r="Q338">
        <v>8750</v>
      </c>
      <c r="R338" t="s">
        <v>136</v>
      </c>
      <c r="S338" s="40">
        <v>46055</v>
      </c>
      <c r="T338">
        <v>37.551873999999998</v>
      </c>
      <c r="U338">
        <v>126.92089799999999</v>
      </c>
      <c r="V338" t="s">
        <v>369</v>
      </c>
      <c r="W338" t="s">
        <v>370</v>
      </c>
      <c r="X338">
        <v>1</v>
      </c>
      <c r="Y338">
        <v>0</v>
      </c>
      <c r="Z338">
        <v>0</v>
      </c>
      <c r="AA338" t="s">
        <v>139</v>
      </c>
      <c r="AB338" t="s">
        <v>337</v>
      </c>
      <c r="AC338">
        <v>350000</v>
      </c>
      <c r="AD338">
        <v>0</v>
      </c>
      <c r="AE338" t="s">
        <v>101</v>
      </c>
      <c r="AF338" t="s">
        <v>242</v>
      </c>
      <c r="AG338" t="s">
        <v>103</v>
      </c>
      <c r="AH338">
        <v>492.93402730014134</v>
      </c>
      <c r="AI338" t="s">
        <v>47</v>
      </c>
      <c r="AJ338" t="s">
        <v>104</v>
      </c>
      <c r="AK338">
        <v>311.79637576106671</v>
      </c>
      <c r="AL338">
        <v>1</v>
      </c>
      <c r="AM338" s="41" t="s">
        <v>371</v>
      </c>
      <c r="AN338">
        <f t="shared" ref="AN338:AN341" si="165">IFERROR(VALUE(LEFT($W338,FIND("년",$W338)-1)),"")</f>
        <v>15</v>
      </c>
      <c r="AO338" t="str">
        <f t="shared" ref="AO338:AO341" si="166">IFERROR(IF(FIND("년",$W338)=3,MID($W338,FIND("년",$W338)+1,FIND("년",$W338)-1),MID($W338,FIND("년",$W338)+1,FIND("년",$W338))),"")</f>
        <v>이내</v>
      </c>
      <c r="AP338">
        <f t="shared" ref="AP338:AP341" si="167">IFERROR(IF($AN338&lt;11,10,IF(AND($AN338&lt;26,$AO338="이내"),25,26)),"")</f>
        <v>25</v>
      </c>
      <c r="AQ338">
        <f t="shared" ref="AQ338:AQ341" si="168">IFERROR(IF($P338&lt;10,9,IF($P338&lt;20,10,IF($P338&lt;30,20,IF($P338&lt;40,30,40)))),"")</f>
        <v>40</v>
      </c>
      <c r="AR338" t="str">
        <f t="shared" ref="AR338:AR341" si="169">IFERROR(IF($D338="상가",IF($G338="1","1층",IF($G338="전체층","전체층",IF(LEFT($G338,1)="B","B1",IF($G338&lt;6,"저",IF($G338/$H338&lt;=$BC$9,"저",IF($G338/$H338&lt;=$BC$10,"중","고")))))),IF(LEFT($G338,1)="B","B1",IF($H338&lt;6,"저",IF($G338/$H338&lt;=$BC$2,"저",IF($G338/$H338&lt;=$BC$3,"중","고"))))),"")</f>
        <v>저</v>
      </c>
      <c r="AS338">
        <f>IFERROR(ACOS(SIN(RADIANS(거래사례!$S$11))*SIN(RADIANS($T338))+COS(RADIANS(거래사례!$S$11))*COS(RADIANS($T338))*COS(RADIANS($U338-거래사례!$P$11)))*6371000,"")</f>
        <v>1143.7999736594604</v>
      </c>
    </row>
    <row r="339" spans="1:45">
      <c r="A339">
        <v>2610423308</v>
      </c>
      <c r="B339">
        <v>1144012400</v>
      </c>
      <c r="C339" t="s">
        <v>93</v>
      </c>
      <c r="D339" t="s">
        <v>0</v>
      </c>
      <c r="E339" t="s">
        <v>94</v>
      </c>
      <c r="F339" t="s">
        <v>95</v>
      </c>
      <c r="G339" t="s">
        <v>3</v>
      </c>
      <c r="H339">
        <v>2</v>
      </c>
      <c r="I339">
        <v>450000</v>
      </c>
      <c r="J339">
        <v>0</v>
      </c>
      <c r="K339" t="s">
        <v>403</v>
      </c>
      <c r="L339">
        <v>190</v>
      </c>
      <c r="M339">
        <v>57</v>
      </c>
      <c r="N339">
        <v>7894</v>
      </c>
      <c r="O339">
        <v>169.11</v>
      </c>
      <c r="P339">
        <v>51</v>
      </c>
      <c r="Q339">
        <v>8824</v>
      </c>
      <c r="R339" t="s">
        <v>96</v>
      </c>
      <c r="S339" s="40">
        <v>46077</v>
      </c>
      <c r="T339">
        <v>37.565629999999999</v>
      </c>
      <c r="U339">
        <v>126.921498</v>
      </c>
      <c r="V339" t="s">
        <v>689</v>
      </c>
      <c r="W339" t="s">
        <v>690</v>
      </c>
      <c r="X339">
        <v>1</v>
      </c>
      <c r="Y339">
        <v>0</v>
      </c>
      <c r="Z339">
        <v>0</v>
      </c>
      <c r="AA339" t="s">
        <v>99</v>
      </c>
      <c r="AB339" t="s">
        <v>691</v>
      </c>
      <c r="AC339">
        <v>450000</v>
      </c>
      <c r="AD339">
        <v>0</v>
      </c>
      <c r="AE339" t="s">
        <v>101</v>
      </c>
      <c r="AF339" t="s">
        <v>165</v>
      </c>
      <c r="AG339" t="s">
        <v>166</v>
      </c>
      <c r="AH339">
        <v>787.97423923497604</v>
      </c>
      <c r="AI339" t="s">
        <v>47</v>
      </c>
      <c r="AJ339" t="s">
        <v>104</v>
      </c>
      <c r="AK339">
        <v>1135.0341723506165</v>
      </c>
      <c r="AL339" t="s">
        <v>105</v>
      </c>
      <c r="AM339" s="41" t="s">
        <v>692</v>
      </c>
      <c r="AN339">
        <f t="shared" si="165"/>
        <v>25</v>
      </c>
      <c r="AO339" t="str">
        <f t="shared" si="166"/>
        <v>이상</v>
      </c>
      <c r="AP339">
        <f t="shared" si="167"/>
        <v>26</v>
      </c>
      <c r="AQ339">
        <f t="shared" si="168"/>
        <v>40</v>
      </c>
      <c r="AR339" t="str">
        <f t="shared" si="169"/>
        <v>전체층</v>
      </c>
      <c r="AS339">
        <f>IFERROR(ACOS(SIN(RADIANS(거래사례!$S$11))*SIN(RADIANS($T339))+COS(RADIANS(거래사례!$S$11))*COS(RADIANS($T339))*COS(RADIANS($U339-거래사례!$P$11)))*6371000,"")</f>
        <v>936.51099626330404</v>
      </c>
    </row>
    <row r="340" spans="1:45">
      <c r="A340">
        <v>2610368424</v>
      </c>
      <c r="B340">
        <v>1144012400</v>
      </c>
      <c r="C340" t="s">
        <v>93</v>
      </c>
      <c r="D340" t="s">
        <v>0</v>
      </c>
      <c r="E340" t="s">
        <v>94</v>
      </c>
      <c r="F340" t="s">
        <v>108</v>
      </c>
      <c r="G340" t="s">
        <v>3</v>
      </c>
      <c r="H340">
        <v>2</v>
      </c>
      <c r="I340">
        <v>520000</v>
      </c>
      <c r="J340">
        <v>0</v>
      </c>
      <c r="K340" t="s">
        <v>693</v>
      </c>
      <c r="L340">
        <v>258</v>
      </c>
      <c r="M340">
        <v>78</v>
      </c>
      <c r="N340">
        <v>6666</v>
      </c>
      <c r="O340">
        <v>193.1</v>
      </c>
      <c r="P340">
        <v>58</v>
      </c>
      <c r="Q340">
        <v>8966</v>
      </c>
      <c r="R340" t="s">
        <v>96</v>
      </c>
      <c r="S340" s="40">
        <v>46077</v>
      </c>
      <c r="T340">
        <v>37.564239000000001</v>
      </c>
      <c r="U340">
        <v>126.925037</v>
      </c>
      <c r="V340" t="s">
        <v>694</v>
      </c>
      <c r="W340" t="s">
        <v>695</v>
      </c>
      <c r="X340">
        <v>1</v>
      </c>
      <c r="Y340">
        <v>0</v>
      </c>
      <c r="Z340">
        <v>0</v>
      </c>
      <c r="AA340" t="s">
        <v>222</v>
      </c>
      <c r="AB340" t="s">
        <v>696</v>
      </c>
      <c r="AC340">
        <v>520000</v>
      </c>
      <c r="AD340">
        <v>0</v>
      </c>
      <c r="AE340" t="s">
        <v>101</v>
      </c>
      <c r="AF340" t="s">
        <v>165</v>
      </c>
      <c r="AG340" t="s">
        <v>166</v>
      </c>
      <c r="AH340">
        <v>537.69674896208187</v>
      </c>
      <c r="AI340" t="s">
        <v>47</v>
      </c>
      <c r="AJ340" t="s">
        <v>104</v>
      </c>
      <c r="AK340">
        <v>836.95220703776522</v>
      </c>
      <c r="AL340" t="s">
        <v>105</v>
      </c>
      <c r="AM340" s="41" t="s">
        <v>697</v>
      </c>
      <c r="AN340">
        <f t="shared" si="165"/>
        <v>25</v>
      </c>
      <c r="AO340" t="str">
        <f t="shared" si="166"/>
        <v>이상</v>
      </c>
      <c r="AP340">
        <f t="shared" si="167"/>
        <v>26</v>
      </c>
      <c r="AQ340">
        <f t="shared" si="168"/>
        <v>40</v>
      </c>
      <c r="AR340" t="str">
        <f t="shared" si="169"/>
        <v>전체층</v>
      </c>
      <c r="AS340">
        <f>IFERROR(ACOS(SIN(RADIANS(거래사례!$S$11))*SIN(RADIANS($T340))+COS(RADIANS(거래사례!$S$11))*COS(RADIANS($T340))*COS(RADIANS($U340-거래사례!$P$11)))*6371000,"")</f>
        <v>613.23315939385202</v>
      </c>
    </row>
    <row r="341" spans="1:45">
      <c r="A341">
        <v>2611856113</v>
      </c>
      <c r="B341">
        <v>1144012000</v>
      </c>
      <c r="C341" t="s">
        <v>93</v>
      </c>
      <c r="D341" t="s">
        <v>0</v>
      </c>
      <c r="E341" t="s">
        <v>94</v>
      </c>
      <c r="F341" t="s">
        <v>95</v>
      </c>
      <c r="G341" t="s">
        <v>3</v>
      </c>
      <c r="H341">
        <v>2</v>
      </c>
      <c r="I341">
        <v>450000</v>
      </c>
      <c r="J341">
        <v>0</v>
      </c>
      <c r="K341" t="s">
        <v>403</v>
      </c>
      <c r="L341">
        <v>161</v>
      </c>
      <c r="M341">
        <v>48</v>
      </c>
      <c r="N341">
        <v>9375</v>
      </c>
      <c r="O341">
        <v>161.83000000000001</v>
      </c>
      <c r="P341">
        <v>48</v>
      </c>
      <c r="Q341">
        <v>9375</v>
      </c>
      <c r="R341" t="s">
        <v>136</v>
      </c>
      <c r="S341" s="40">
        <v>46085</v>
      </c>
      <c r="T341">
        <v>37.555692999999998</v>
      </c>
      <c r="U341">
        <v>126.91891800000001</v>
      </c>
      <c r="V341" t="s">
        <v>615</v>
      </c>
      <c r="W341" t="s">
        <v>616</v>
      </c>
      <c r="X341">
        <v>1</v>
      </c>
      <c r="Y341">
        <v>0</v>
      </c>
      <c r="Z341">
        <v>0</v>
      </c>
      <c r="AA341" t="s">
        <v>328</v>
      </c>
      <c r="AB341" t="s">
        <v>617</v>
      </c>
      <c r="AC341">
        <v>450000</v>
      </c>
      <c r="AD341">
        <v>0</v>
      </c>
      <c r="AE341" t="s">
        <v>101</v>
      </c>
      <c r="AF341" t="s">
        <v>165</v>
      </c>
      <c r="AG341" t="s">
        <v>166</v>
      </c>
      <c r="AH341">
        <v>545.99062482486443</v>
      </c>
      <c r="AI341" t="s">
        <v>47</v>
      </c>
      <c r="AJ341" t="s">
        <v>104</v>
      </c>
      <c r="AK341">
        <v>589.04612910884725</v>
      </c>
      <c r="AL341" t="s">
        <v>105</v>
      </c>
      <c r="AM341" s="41" t="s">
        <v>618</v>
      </c>
      <c r="AN341">
        <f t="shared" si="165"/>
        <v>25</v>
      </c>
      <c r="AO341" t="str">
        <f t="shared" si="166"/>
        <v>이상</v>
      </c>
      <c r="AP341">
        <f t="shared" si="167"/>
        <v>26</v>
      </c>
      <c r="AQ341">
        <f t="shared" si="168"/>
        <v>40</v>
      </c>
      <c r="AR341" t="str">
        <f t="shared" si="169"/>
        <v>전체층</v>
      </c>
      <c r="AS341">
        <f>IFERROR(ACOS(SIN(RADIANS(거래사례!$S$11))*SIN(RADIANS($T341))+COS(RADIANS(거래사례!$S$11))*COS(RADIANS($T341))*COS(RADIANS($U341-거래사례!$P$11)))*6371000,"")</f>
        <v>1012.3587439249893</v>
      </c>
    </row>
    <row r="342" spans="1:45" hidden="1">
      <c r="A342">
        <v>2610774942</v>
      </c>
      <c r="B342">
        <v>1144011100</v>
      </c>
      <c r="C342" t="s">
        <v>134</v>
      </c>
      <c r="D342" t="s">
        <v>0</v>
      </c>
      <c r="E342" t="s">
        <v>94</v>
      </c>
      <c r="F342" t="s">
        <v>135</v>
      </c>
      <c r="G342">
        <v>1</v>
      </c>
      <c r="H342">
        <v>1</v>
      </c>
      <c r="I342">
        <v>40000</v>
      </c>
      <c r="J342">
        <v>0</v>
      </c>
      <c r="K342" t="s">
        <v>444</v>
      </c>
      <c r="L342">
        <v>31</v>
      </c>
      <c r="M342">
        <v>9</v>
      </c>
      <c r="N342">
        <v>4444</v>
      </c>
      <c r="O342">
        <v>26.4</v>
      </c>
      <c r="P342">
        <v>7</v>
      </c>
      <c r="Q342">
        <v>5714</v>
      </c>
      <c r="R342" t="s">
        <v>136</v>
      </c>
      <c r="S342" s="40">
        <v>46079</v>
      </c>
      <c r="T342">
        <v>37.548093999999999</v>
      </c>
      <c r="U342">
        <v>126.93366399999999</v>
      </c>
      <c r="V342" t="s">
        <v>550</v>
      </c>
      <c r="W342" t="s">
        <v>551</v>
      </c>
      <c r="X342">
        <v>2</v>
      </c>
      <c r="Y342" t="s">
        <v>444</v>
      </c>
      <c r="Z342" t="s">
        <v>444</v>
      </c>
      <c r="AA342" t="s">
        <v>99</v>
      </c>
      <c r="AB342" t="s">
        <v>552</v>
      </c>
      <c r="AC342">
        <v>40000</v>
      </c>
      <c r="AD342">
        <v>0</v>
      </c>
      <c r="AE342" t="s">
        <v>101</v>
      </c>
      <c r="AF342" t="s">
        <v>481</v>
      </c>
      <c r="AG342" t="s">
        <v>103</v>
      </c>
      <c r="AH342">
        <v>151.63225483660281</v>
      </c>
      <c r="AI342" t="s">
        <v>47</v>
      </c>
      <c r="AJ342" t="s">
        <v>104</v>
      </c>
      <c r="AK342">
        <v>1550.1333342176281</v>
      </c>
      <c r="AL342" t="s">
        <v>105</v>
      </c>
      <c r="AM342" s="41" t="s">
        <v>553</v>
      </c>
    </row>
    <row r="343" spans="1:45" hidden="1">
      <c r="A343">
        <v>2608936042</v>
      </c>
      <c r="B343">
        <v>1144011100</v>
      </c>
      <c r="C343" t="s">
        <v>134</v>
      </c>
      <c r="D343" t="s">
        <v>0</v>
      </c>
      <c r="E343" t="s">
        <v>94</v>
      </c>
      <c r="F343" t="s">
        <v>95</v>
      </c>
      <c r="G343">
        <v>1</v>
      </c>
      <c r="H343">
        <v>1</v>
      </c>
      <c r="I343">
        <v>40000</v>
      </c>
      <c r="J343">
        <v>0</v>
      </c>
      <c r="K343" t="s">
        <v>444</v>
      </c>
      <c r="L343">
        <v>31</v>
      </c>
      <c r="M343">
        <v>9</v>
      </c>
      <c r="N343">
        <v>4444</v>
      </c>
      <c r="O343">
        <v>26.4</v>
      </c>
      <c r="P343">
        <v>7</v>
      </c>
      <c r="Q343">
        <v>5714</v>
      </c>
      <c r="R343" t="s">
        <v>208</v>
      </c>
      <c r="S343" s="40">
        <v>46067</v>
      </c>
      <c r="T343">
        <v>37.548093999999999</v>
      </c>
      <c r="U343">
        <v>126.93366399999999</v>
      </c>
      <c r="V343" t="s">
        <v>554</v>
      </c>
      <c r="W343" t="s">
        <v>555</v>
      </c>
      <c r="X343">
        <v>1</v>
      </c>
      <c r="Y343">
        <v>0</v>
      </c>
      <c r="Z343">
        <v>0</v>
      </c>
      <c r="AA343" t="s">
        <v>139</v>
      </c>
      <c r="AB343" t="s">
        <v>538</v>
      </c>
      <c r="AC343">
        <v>40000</v>
      </c>
      <c r="AD343">
        <v>0</v>
      </c>
      <c r="AE343" t="s">
        <v>101</v>
      </c>
      <c r="AF343" t="s">
        <v>481</v>
      </c>
      <c r="AG343" t="s">
        <v>103</v>
      </c>
      <c r="AH343">
        <v>151.63225483660281</v>
      </c>
      <c r="AI343" t="s">
        <v>47</v>
      </c>
      <c r="AJ343" t="s">
        <v>104</v>
      </c>
      <c r="AK343">
        <v>1550.1333342176281</v>
      </c>
      <c r="AL343" t="s">
        <v>105</v>
      </c>
      <c r="AM343" s="41" t="s">
        <v>553</v>
      </c>
    </row>
    <row r="344" spans="1:45">
      <c r="A344">
        <v>2611856113</v>
      </c>
      <c r="B344">
        <v>1144012000</v>
      </c>
      <c r="C344" t="s">
        <v>93</v>
      </c>
      <c r="D344" t="s">
        <v>0</v>
      </c>
      <c r="E344" t="s">
        <v>94</v>
      </c>
      <c r="F344" t="s">
        <v>95</v>
      </c>
      <c r="G344" t="s">
        <v>3</v>
      </c>
      <c r="H344">
        <v>2</v>
      </c>
      <c r="I344">
        <v>450000</v>
      </c>
      <c r="J344">
        <v>0</v>
      </c>
      <c r="K344" t="s">
        <v>403</v>
      </c>
      <c r="L344">
        <v>161</v>
      </c>
      <c r="M344">
        <v>48</v>
      </c>
      <c r="N344">
        <v>9375</v>
      </c>
      <c r="O344">
        <v>161.83000000000001</v>
      </c>
      <c r="P344">
        <v>48</v>
      </c>
      <c r="Q344">
        <v>9375</v>
      </c>
      <c r="R344" t="s">
        <v>136</v>
      </c>
      <c r="S344" s="40">
        <v>46085</v>
      </c>
      <c r="T344">
        <v>37.555692999999998</v>
      </c>
      <c r="U344">
        <v>126.91891800000001</v>
      </c>
      <c r="V344" t="s">
        <v>615</v>
      </c>
      <c r="W344" t="s">
        <v>616</v>
      </c>
      <c r="X344">
        <v>1</v>
      </c>
      <c r="Y344">
        <v>0</v>
      </c>
      <c r="Z344">
        <v>0</v>
      </c>
      <c r="AA344" t="s">
        <v>328</v>
      </c>
      <c r="AB344" t="s">
        <v>617</v>
      </c>
      <c r="AC344">
        <v>450000</v>
      </c>
      <c r="AD344">
        <v>0</v>
      </c>
      <c r="AE344" t="s">
        <v>101</v>
      </c>
      <c r="AF344" t="s">
        <v>165</v>
      </c>
      <c r="AG344" t="s">
        <v>166</v>
      </c>
      <c r="AH344">
        <v>545.99062482486443</v>
      </c>
      <c r="AI344" t="s">
        <v>47</v>
      </c>
      <c r="AJ344" t="s">
        <v>104</v>
      </c>
      <c r="AK344">
        <v>589.04612910884725</v>
      </c>
      <c r="AL344" t="s">
        <v>105</v>
      </c>
      <c r="AM344" s="41" t="s">
        <v>618</v>
      </c>
      <c r="AN344">
        <f t="shared" ref="AN344:AN346" si="170">IFERROR(VALUE(LEFT($W344,FIND("년",$W344)-1)),"")</f>
        <v>25</v>
      </c>
      <c r="AO344" t="str">
        <f t="shared" ref="AO344:AO346" si="171">IFERROR(IF(FIND("년",$W344)=3,MID($W344,FIND("년",$W344)+1,FIND("년",$W344)-1),MID($W344,FIND("년",$W344)+1,FIND("년",$W344))),"")</f>
        <v>이상</v>
      </c>
      <c r="AP344">
        <f t="shared" ref="AP344:AP346" si="172">IFERROR(IF($AN344&lt;11,10,IF(AND($AN344&lt;26,$AO344="이내"),25,26)),"")</f>
        <v>26</v>
      </c>
      <c r="AQ344">
        <f t="shared" ref="AQ344:AQ346" si="173">IFERROR(IF($P344&lt;10,9,IF($P344&lt;20,10,IF($P344&lt;30,20,IF($P344&lt;40,30,40)))),"")</f>
        <v>40</v>
      </c>
      <c r="AR344" t="str">
        <f t="shared" ref="AR344:AR346" si="174">IFERROR(IF($D344="상가",IF($G344="1","1층",IF($G344="전체층","전체층",IF(LEFT($G344,1)="B","B1",IF($G344&lt;6,"저",IF($G344/$H344&lt;=$BC$9,"저",IF($G344/$H344&lt;=$BC$10,"중","고")))))),IF(LEFT($G344,1)="B","B1",IF($H344&lt;6,"저",IF($G344/$H344&lt;=$BC$2,"저",IF($G344/$H344&lt;=$BC$3,"중","고"))))),"")</f>
        <v>전체층</v>
      </c>
      <c r="AS344">
        <f>IFERROR(ACOS(SIN(RADIANS(거래사례!$S$11))*SIN(RADIANS($T344))+COS(RADIANS(거래사례!$S$11))*COS(RADIANS($T344))*COS(RADIANS($U344-거래사례!$P$11)))*6371000,"")</f>
        <v>1012.3587439249893</v>
      </c>
    </row>
    <row r="345" spans="1:45">
      <c r="A345">
        <v>2611856113</v>
      </c>
      <c r="B345">
        <v>1144012000</v>
      </c>
      <c r="C345" t="s">
        <v>93</v>
      </c>
      <c r="D345" t="s">
        <v>0</v>
      </c>
      <c r="E345" t="s">
        <v>94</v>
      </c>
      <c r="F345" t="s">
        <v>95</v>
      </c>
      <c r="G345" t="s">
        <v>3</v>
      </c>
      <c r="H345">
        <v>2</v>
      </c>
      <c r="I345">
        <v>450000</v>
      </c>
      <c r="J345">
        <v>0</v>
      </c>
      <c r="K345" t="s">
        <v>403</v>
      </c>
      <c r="L345">
        <v>161</v>
      </c>
      <c r="M345">
        <v>48</v>
      </c>
      <c r="N345">
        <v>9375</v>
      </c>
      <c r="O345">
        <v>161.83000000000001</v>
      </c>
      <c r="P345">
        <v>48</v>
      </c>
      <c r="Q345">
        <v>9375</v>
      </c>
      <c r="R345" t="s">
        <v>136</v>
      </c>
      <c r="S345" s="40">
        <v>46085</v>
      </c>
      <c r="T345">
        <v>37.555692999999998</v>
      </c>
      <c r="U345">
        <v>126.91891800000001</v>
      </c>
      <c r="V345" t="s">
        <v>615</v>
      </c>
      <c r="W345" t="s">
        <v>616</v>
      </c>
      <c r="X345">
        <v>1</v>
      </c>
      <c r="Y345">
        <v>0</v>
      </c>
      <c r="Z345">
        <v>0</v>
      </c>
      <c r="AA345" t="s">
        <v>328</v>
      </c>
      <c r="AB345" t="s">
        <v>617</v>
      </c>
      <c r="AC345">
        <v>450000</v>
      </c>
      <c r="AD345">
        <v>0</v>
      </c>
      <c r="AE345" t="s">
        <v>101</v>
      </c>
      <c r="AF345" t="s">
        <v>165</v>
      </c>
      <c r="AG345" t="s">
        <v>166</v>
      </c>
      <c r="AH345">
        <v>545.99062482486443</v>
      </c>
      <c r="AI345" t="s">
        <v>47</v>
      </c>
      <c r="AJ345" t="s">
        <v>104</v>
      </c>
      <c r="AK345">
        <v>589.04612910884725</v>
      </c>
      <c r="AL345" t="s">
        <v>105</v>
      </c>
      <c r="AM345" s="41" t="s">
        <v>618</v>
      </c>
      <c r="AN345">
        <f t="shared" si="170"/>
        <v>25</v>
      </c>
      <c r="AO345" t="str">
        <f t="shared" si="171"/>
        <v>이상</v>
      </c>
      <c r="AP345">
        <f t="shared" si="172"/>
        <v>26</v>
      </c>
      <c r="AQ345">
        <f t="shared" si="173"/>
        <v>40</v>
      </c>
      <c r="AR345" t="str">
        <f t="shared" si="174"/>
        <v>전체층</v>
      </c>
      <c r="AS345">
        <f>IFERROR(ACOS(SIN(RADIANS(거래사례!$S$11))*SIN(RADIANS($T345))+COS(RADIANS(거래사례!$S$11))*COS(RADIANS($T345))*COS(RADIANS($U345-거래사례!$P$11)))*6371000,"")</f>
        <v>1012.3587439249893</v>
      </c>
    </row>
    <row r="346" spans="1:45">
      <c r="A346">
        <v>2607413956</v>
      </c>
      <c r="B346">
        <v>1141011700</v>
      </c>
      <c r="C346" t="s">
        <v>93</v>
      </c>
      <c r="D346" t="s">
        <v>0</v>
      </c>
      <c r="E346" t="s">
        <v>94</v>
      </c>
      <c r="F346" t="s">
        <v>95</v>
      </c>
      <c r="G346" t="s">
        <v>35</v>
      </c>
      <c r="H346">
        <v>4</v>
      </c>
      <c r="I346">
        <v>600000</v>
      </c>
      <c r="J346">
        <v>0</v>
      </c>
      <c r="K346" t="s">
        <v>612</v>
      </c>
      <c r="L346">
        <v>433</v>
      </c>
      <c r="M346">
        <v>130</v>
      </c>
      <c r="N346">
        <v>4615</v>
      </c>
      <c r="O346">
        <v>208.6</v>
      </c>
      <c r="P346">
        <v>63</v>
      </c>
      <c r="Q346">
        <v>9524</v>
      </c>
      <c r="R346" t="s">
        <v>96</v>
      </c>
      <c r="S346" s="40">
        <v>46059</v>
      </c>
      <c r="T346">
        <v>37.568479000000004</v>
      </c>
      <c r="U346">
        <v>126.931033</v>
      </c>
      <c r="V346" t="s">
        <v>698</v>
      </c>
      <c r="W346" t="s">
        <v>699</v>
      </c>
      <c r="X346">
        <v>1</v>
      </c>
      <c r="Y346">
        <v>0</v>
      </c>
      <c r="Z346">
        <v>0</v>
      </c>
      <c r="AA346" t="s">
        <v>222</v>
      </c>
      <c r="AB346" t="s">
        <v>255</v>
      </c>
      <c r="AC346">
        <v>600000</v>
      </c>
      <c r="AD346">
        <v>0</v>
      </c>
      <c r="AE346" t="s">
        <v>101</v>
      </c>
      <c r="AF346" t="s">
        <v>165</v>
      </c>
      <c r="AG346" t="s">
        <v>166</v>
      </c>
      <c r="AH346">
        <v>1219.8979158300378</v>
      </c>
      <c r="AI346" t="s">
        <v>47</v>
      </c>
      <c r="AJ346" t="s">
        <v>104</v>
      </c>
      <c r="AK346">
        <v>34.127174060083618</v>
      </c>
      <c r="AL346">
        <v>1</v>
      </c>
      <c r="AM346" s="41" t="s">
        <v>700</v>
      </c>
      <c r="AN346">
        <f t="shared" si="170"/>
        <v>10</v>
      </c>
      <c r="AO346" t="str">
        <f t="shared" si="171"/>
        <v>이내</v>
      </c>
      <c r="AP346">
        <f t="shared" si="172"/>
        <v>10</v>
      </c>
      <c r="AQ346">
        <f t="shared" si="173"/>
        <v>40</v>
      </c>
      <c r="AR346" t="str">
        <f t="shared" si="174"/>
        <v>B1</v>
      </c>
      <c r="AS346">
        <f>IFERROR(ACOS(SIN(RADIANS(거래사례!$S$11))*SIN(RADIANS($T346))+COS(RADIANS(거래사례!$S$11))*COS(RADIANS($T346))*COS(RADIANS($U346-거래사례!$P$11)))*6371000,"")</f>
        <v>978.86515228969699</v>
      </c>
    </row>
    <row r="347" spans="1:45" hidden="1">
      <c r="A347">
        <v>2606512354</v>
      </c>
      <c r="B347">
        <v>1144012000</v>
      </c>
      <c r="C347" t="s">
        <v>93</v>
      </c>
      <c r="D347" t="s">
        <v>0</v>
      </c>
      <c r="E347" t="s">
        <v>94</v>
      </c>
      <c r="F347" t="s">
        <v>135</v>
      </c>
      <c r="G347">
        <v>1</v>
      </c>
      <c r="H347">
        <v>6</v>
      </c>
      <c r="I347">
        <v>83000</v>
      </c>
      <c r="J347">
        <v>0</v>
      </c>
      <c r="K347" t="s">
        <v>559</v>
      </c>
      <c r="L347">
        <v>89</v>
      </c>
      <c r="M347">
        <v>26</v>
      </c>
      <c r="N347">
        <v>3192</v>
      </c>
      <c r="O347">
        <v>48.8</v>
      </c>
      <c r="P347">
        <v>14</v>
      </c>
      <c r="Q347">
        <v>5929</v>
      </c>
      <c r="R347" t="s">
        <v>110</v>
      </c>
      <c r="S347" s="40">
        <v>46056</v>
      </c>
      <c r="T347">
        <v>37.553348999999997</v>
      </c>
      <c r="U347">
        <v>126.924397</v>
      </c>
      <c r="V347" t="s">
        <v>560</v>
      </c>
      <c r="W347" t="s">
        <v>561</v>
      </c>
      <c r="X347">
        <v>2</v>
      </c>
      <c r="Y347" t="s">
        <v>559</v>
      </c>
      <c r="Z347" t="s">
        <v>559</v>
      </c>
      <c r="AA347" t="s">
        <v>99</v>
      </c>
      <c r="AB347" t="s">
        <v>562</v>
      </c>
      <c r="AC347">
        <v>83000</v>
      </c>
      <c r="AD347">
        <v>0</v>
      </c>
      <c r="AE347" t="s">
        <v>101</v>
      </c>
      <c r="AF347" t="s">
        <v>165</v>
      </c>
      <c r="AG347" t="s">
        <v>166</v>
      </c>
      <c r="AH347">
        <v>402.35281783877383</v>
      </c>
      <c r="AI347" t="s">
        <v>47</v>
      </c>
      <c r="AJ347" t="s">
        <v>104</v>
      </c>
      <c r="AK347">
        <v>732.53643904711817</v>
      </c>
      <c r="AL347" t="s">
        <v>105</v>
      </c>
      <c r="AM347" s="41" t="s">
        <v>563</v>
      </c>
    </row>
    <row r="348" spans="1:45" hidden="1">
      <c r="A348">
        <v>2606513447</v>
      </c>
      <c r="B348">
        <v>1144012000</v>
      </c>
      <c r="C348" t="s">
        <v>93</v>
      </c>
      <c r="D348" t="s">
        <v>0</v>
      </c>
      <c r="E348" t="s">
        <v>94</v>
      </c>
      <c r="F348" t="s">
        <v>135</v>
      </c>
      <c r="G348">
        <v>1</v>
      </c>
      <c r="H348">
        <v>6</v>
      </c>
      <c r="I348">
        <v>83000</v>
      </c>
      <c r="J348">
        <v>0</v>
      </c>
      <c r="K348" t="s">
        <v>559</v>
      </c>
      <c r="L348">
        <v>89</v>
      </c>
      <c r="M348">
        <v>26</v>
      </c>
      <c r="N348">
        <v>3192</v>
      </c>
      <c r="O348">
        <v>48.8</v>
      </c>
      <c r="P348">
        <v>14</v>
      </c>
      <c r="Q348">
        <v>5929</v>
      </c>
      <c r="R348" t="s">
        <v>110</v>
      </c>
      <c r="S348" s="40">
        <v>46055</v>
      </c>
      <c r="T348">
        <v>37.553488000000002</v>
      </c>
      <c r="U348">
        <v>126.92430400000001</v>
      </c>
      <c r="V348" t="s">
        <v>560</v>
      </c>
      <c r="W348" t="s">
        <v>561</v>
      </c>
      <c r="X348">
        <v>1</v>
      </c>
      <c r="Y348">
        <v>0</v>
      </c>
      <c r="Z348">
        <v>0</v>
      </c>
      <c r="AA348" t="s">
        <v>99</v>
      </c>
      <c r="AB348" t="s">
        <v>562</v>
      </c>
      <c r="AC348">
        <v>83000</v>
      </c>
      <c r="AD348">
        <v>0</v>
      </c>
      <c r="AE348" t="s">
        <v>101</v>
      </c>
      <c r="AF348" t="s">
        <v>165</v>
      </c>
      <c r="AG348" t="s">
        <v>166</v>
      </c>
      <c r="AH348">
        <v>385.18638332688346</v>
      </c>
      <c r="AI348" t="s">
        <v>47</v>
      </c>
      <c r="AJ348" t="s">
        <v>104</v>
      </c>
      <c r="AK348">
        <v>730.39400802924092</v>
      </c>
      <c r="AL348" t="s">
        <v>105</v>
      </c>
      <c r="AM348" s="41" t="s">
        <v>563</v>
      </c>
    </row>
    <row r="349" spans="1:45" hidden="1">
      <c r="A349">
        <v>2611455390</v>
      </c>
      <c r="B349">
        <v>1144011100</v>
      </c>
      <c r="C349" t="s">
        <v>134</v>
      </c>
      <c r="D349" t="s">
        <v>0</v>
      </c>
      <c r="E349" t="s">
        <v>94</v>
      </c>
      <c r="F349" t="s">
        <v>135</v>
      </c>
      <c r="G349">
        <v>1</v>
      </c>
      <c r="H349">
        <v>1</v>
      </c>
      <c r="I349">
        <v>72000</v>
      </c>
      <c r="J349">
        <v>0</v>
      </c>
      <c r="K349" t="s">
        <v>564</v>
      </c>
      <c r="L349">
        <v>79</v>
      </c>
      <c r="M349">
        <v>23</v>
      </c>
      <c r="N349">
        <v>3130</v>
      </c>
      <c r="O349">
        <v>42.63</v>
      </c>
      <c r="P349">
        <v>12</v>
      </c>
      <c r="Q349">
        <v>6000</v>
      </c>
      <c r="R349" t="s">
        <v>154</v>
      </c>
      <c r="S349" s="40">
        <v>46084</v>
      </c>
      <c r="T349">
        <v>37.551087000000003</v>
      </c>
      <c r="U349">
        <v>126.934427</v>
      </c>
      <c r="V349" t="s">
        <v>565</v>
      </c>
      <c r="W349" t="s">
        <v>405</v>
      </c>
      <c r="X349">
        <v>1</v>
      </c>
      <c r="Y349">
        <v>0</v>
      </c>
      <c r="Z349">
        <v>0</v>
      </c>
      <c r="AA349" t="s">
        <v>99</v>
      </c>
      <c r="AB349" t="s">
        <v>566</v>
      </c>
      <c r="AC349">
        <v>72000</v>
      </c>
      <c r="AD349">
        <v>0</v>
      </c>
      <c r="AE349" t="s">
        <v>101</v>
      </c>
      <c r="AF349" t="s">
        <v>475</v>
      </c>
      <c r="AG349" t="s">
        <v>476</v>
      </c>
      <c r="AH349">
        <v>164.32942527335157</v>
      </c>
      <c r="AI349" t="s">
        <v>47</v>
      </c>
      <c r="AJ349" t="s">
        <v>104</v>
      </c>
      <c r="AK349">
        <v>1272.2165016406389</v>
      </c>
      <c r="AL349" t="s">
        <v>105</v>
      </c>
      <c r="AM349" s="41" t="s">
        <v>524</v>
      </c>
    </row>
    <row r="350" spans="1:45" hidden="1">
      <c r="A350">
        <v>2609181988</v>
      </c>
      <c r="B350">
        <v>1144011100</v>
      </c>
      <c r="C350" t="s">
        <v>134</v>
      </c>
      <c r="D350" t="s">
        <v>0</v>
      </c>
      <c r="E350" t="s">
        <v>94</v>
      </c>
      <c r="F350" t="s">
        <v>135</v>
      </c>
      <c r="G350">
        <v>1</v>
      </c>
      <c r="H350">
        <v>1</v>
      </c>
      <c r="I350">
        <v>90000</v>
      </c>
      <c r="J350">
        <v>0</v>
      </c>
      <c r="K350" t="s">
        <v>212</v>
      </c>
      <c r="L350">
        <v>51</v>
      </c>
      <c r="M350">
        <v>15</v>
      </c>
      <c r="N350">
        <v>6000</v>
      </c>
      <c r="O350">
        <v>51.16</v>
      </c>
      <c r="P350">
        <v>15</v>
      </c>
      <c r="Q350">
        <v>6000</v>
      </c>
      <c r="R350" t="s">
        <v>161</v>
      </c>
      <c r="S350" s="40">
        <v>46072</v>
      </c>
      <c r="T350">
        <v>37.551091999999997</v>
      </c>
      <c r="U350">
        <v>126.934428</v>
      </c>
      <c r="V350" t="s">
        <v>567</v>
      </c>
      <c r="W350" t="s">
        <v>414</v>
      </c>
      <c r="X350">
        <v>1</v>
      </c>
      <c r="Y350">
        <v>0</v>
      </c>
      <c r="Z350">
        <v>0</v>
      </c>
      <c r="AA350" t="s">
        <v>113</v>
      </c>
      <c r="AB350" t="s">
        <v>523</v>
      </c>
      <c r="AC350">
        <v>90000</v>
      </c>
      <c r="AD350">
        <v>0</v>
      </c>
      <c r="AE350" t="s">
        <v>101</v>
      </c>
      <c r="AF350" t="s">
        <v>475</v>
      </c>
      <c r="AG350" t="s">
        <v>476</v>
      </c>
      <c r="AH350">
        <v>163.81954637736581</v>
      </c>
      <c r="AI350" t="s">
        <v>47</v>
      </c>
      <c r="AJ350" t="s">
        <v>104</v>
      </c>
      <c r="AK350">
        <v>1271.8041472437619</v>
      </c>
      <c r="AL350" t="s">
        <v>105</v>
      </c>
      <c r="AM350" s="41" t="s">
        <v>524</v>
      </c>
    </row>
    <row r="351" spans="1:45" hidden="1">
      <c r="A351">
        <v>2606922832</v>
      </c>
      <c r="B351">
        <v>1144012400</v>
      </c>
      <c r="C351" t="s">
        <v>93</v>
      </c>
      <c r="D351" t="s">
        <v>0</v>
      </c>
      <c r="E351" t="s">
        <v>94</v>
      </c>
      <c r="F351" t="s">
        <v>95</v>
      </c>
      <c r="G351">
        <v>1</v>
      </c>
      <c r="H351">
        <v>5</v>
      </c>
      <c r="I351">
        <v>50000</v>
      </c>
      <c r="J351">
        <v>0</v>
      </c>
      <c r="K351" t="s">
        <v>168</v>
      </c>
      <c r="L351">
        <v>28</v>
      </c>
      <c r="M351">
        <v>8</v>
      </c>
      <c r="N351">
        <v>6250</v>
      </c>
      <c r="O351">
        <v>28.5</v>
      </c>
      <c r="P351">
        <v>8</v>
      </c>
      <c r="Q351">
        <v>6250</v>
      </c>
      <c r="R351" t="s">
        <v>121</v>
      </c>
      <c r="S351" s="40">
        <v>46057</v>
      </c>
      <c r="T351">
        <v>37.55932</v>
      </c>
      <c r="U351">
        <v>126.918761</v>
      </c>
      <c r="V351" t="s">
        <v>568</v>
      </c>
      <c r="W351" t="s">
        <v>569</v>
      </c>
      <c r="X351">
        <v>1</v>
      </c>
      <c r="Y351">
        <v>0</v>
      </c>
      <c r="Z351">
        <v>0</v>
      </c>
      <c r="AA351" t="s">
        <v>113</v>
      </c>
      <c r="AB351" t="s">
        <v>570</v>
      </c>
      <c r="AC351">
        <v>50000</v>
      </c>
      <c r="AD351">
        <v>0</v>
      </c>
      <c r="AE351" t="s">
        <v>101</v>
      </c>
      <c r="AF351" t="s">
        <v>165</v>
      </c>
      <c r="AG351" t="s">
        <v>166</v>
      </c>
      <c r="AH351">
        <v>610.16387193891501</v>
      </c>
      <c r="AI351" t="s">
        <v>47</v>
      </c>
      <c r="AJ351" t="s">
        <v>104</v>
      </c>
      <c r="AK351">
        <v>991.41743314599921</v>
      </c>
      <c r="AL351" t="s">
        <v>105</v>
      </c>
      <c r="AM351" s="41" t="s">
        <v>571</v>
      </c>
    </row>
    <row r="352" spans="1:45" hidden="1">
      <c r="A352">
        <v>2610757625</v>
      </c>
      <c r="B352">
        <v>1144012100</v>
      </c>
      <c r="C352" t="s">
        <v>134</v>
      </c>
      <c r="D352" t="s">
        <v>0</v>
      </c>
      <c r="E352" t="s">
        <v>94</v>
      </c>
      <c r="F352" t="s">
        <v>119</v>
      </c>
      <c r="G352">
        <v>2</v>
      </c>
      <c r="H352">
        <v>15</v>
      </c>
      <c r="I352">
        <v>70000</v>
      </c>
      <c r="J352">
        <v>0</v>
      </c>
      <c r="K352" t="s">
        <v>225</v>
      </c>
      <c r="L352">
        <v>76</v>
      </c>
      <c r="M352">
        <v>22</v>
      </c>
      <c r="N352">
        <v>3181</v>
      </c>
      <c r="O352">
        <v>37.72</v>
      </c>
      <c r="P352">
        <v>11</v>
      </c>
      <c r="Q352">
        <v>6364</v>
      </c>
      <c r="R352" t="s">
        <v>121</v>
      </c>
      <c r="S352" s="40">
        <v>46079</v>
      </c>
      <c r="T352">
        <v>37.558401000000003</v>
      </c>
      <c r="U352">
        <v>126.925119</v>
      </c>
      <c r="V352" t="s">
        <v>572</v>
      </c>
      <c r="W352" t="s">
        <v>573</v>
      </c>
      <c r="X352">
        <v>1</v>
      </c>
      <c r="Y352">
        <v>0</v>
      </c>
      <c r="Z352">
        <v>0</v>
      </c>
      <c r="AA352" t="s">
        <v>124</v>
      </c>
      <c r="AB352" t="s">
        <v>574</v>
      </c>
      <c r="AC352">
        <v>70000</v>
      </c>
      <c r="AD352">
        <v>0</v>
      </c>
      <c r="AE352" t="s">
        <v>101</v>
      </c>
      <c r="AF352" t="s">
        <v>165</v>
      </c>
      <c r="AG352" t="s">
        <v>166</v>
      </c>
      <c r="AH352">
        <v>115.59321262223921</v>
      </c>
      <c r="AI352" t="s">
        <v>47</v>
      </c>
      <c r="AJ352" t="s">
        <v>104</v>
      </c>
      <c r="AK352">
        <v>1154.0393989497686</v>
      </c>
      <c r="AL352" t="s">
        <v>105</v>
      </c>
      <c r="AM352" s="41" t="s">
        <v>575</v>
      </c>
    </row>
    <row r="353" spans="1:45" hidden="1">
      <c r="A353">
        <v>2611910640</v>
      </c>
      <c r="B353">
        <v>1144011400</v>
      </c>
      <c r="C353" t="s">
        <v>134</v>
      </c>
      <c r="D353" t="s">
        <v>0</v>
      </c>
      <c r="E353" t="s">
        <v>94</v>
      </c>
      <c r="F353" t="s">
        <v>135</v>
      </c>
      <c r="G353">
        <v>1</v>
      </c>
      <c r="H353">
        <v>2</v>
      </c>
      <c r="I353">
        <v>77000</v>
      </c>
      <c r="J353">
        <v>0</v>
      </c>
      <c r="K353" t="s">
        <v>576</v>
      </c>
      <c r="L353">
        <v>40</v>
      </c>
      <c r="M353">
        <v>12</v>
      </c>
      <c r="N353">
        <v>6416</v>
      </c>
      <c r="O353">
        <v>40.9</v>
      </c>
      <c r="P353">
        <v>12</v>
      </c>
      <c r="Q353">
        <v>6417</v>
      </c>
      <c r="R353" t="s">
        <v>145</v>
      </c>
      <c r="S353" s="40">
        <v>46085</v>
      </c>
      <c r="T353">
        <v>37.548369000000001</v>
      </c>
      <c r="U353">
        <v>126.92944799999999</v>
      </c>
      <c r="V353" t="s">
        <v>577</v>
      </c>
      <c r="W353" t="s">
        <v>548</v>
      </c>
      <c r="X353">
        <v>1</v>
      </c>
      <c r="Y353">
        <v>0</v>
      </c>
      <c r="Z353">
        <v>0</v>
      </c>
      <c r="AA353" t="s">
        <v>176</v>
      </c>
      <c r="AB353" t="s">
        <v>480</v>
      </c>
      <c r="AC353">
        <v>77000</v>
      </c>
      <c r="AD353">
        <v>0</v>
      </c>
      <c r="AE353" t="s">
        <v>101</v>
      </c>
      <c r="AF353" t="s">
        <v>481</v>
      </c>
      <c r="AG353" t="s">
        <v>103</v>
      </c>
      <c r="AH353">
        <v>353.10489569662644</v>
      </c>
      <c r="AI353" t="s">
        <v>47</v>
      </c>
      <c r="AJ353" t="s">
        <v>104</v>
      </c>
      <c r="AK353">
        <v>1239.2769741190828</v>
      </c>
      <c r="AL353" t="s">
        <v>105</v>
      </c>
      <c r="AM353" s="41" t="s">
        <v>482</v>
      </c>
    </row>
    <row r="354" spans="1:45" hidden="1">
      <c r="A354">
        <v>2610648214</v>
      </c>
      <c r="B354">
        <v>1144011400</v>
      </c>
      <c r="C354" t="s">
        <v>134</v>
      </c>
      <c r="D354" t="s">
        <v>0</v>
      </c>
      <c r="E354" t="s">
        <v>94</v>
      </c>
      <c r="F354" t="s">
        <v>135</v>
      </c>
      <c r="G354">
        <v>1</v>
      </c>
      <c r="H354">
        <v>2</v>
      </c>
      <c r="I354">
        <v>77000</v>
      </c>
      <c r="J354">
        <v>0</v>
      </c>
      <c r="K354" t="s">
        <v>576</v>
      </c>
      <c r="L354">
        <v>63</v>
      </c>
      <c r="M354">
        <v>19</v>
      </c>
      <c r="N354">
        <v>4052</v>
      </c>
      <c r="O354">
        <v>40.9</v>
      </c>
      <c r="P354">
        <v>12</v>
      </c>
      <c r="Q354">
        <v>6417</v>
      </c>
      <c r="R354" t="s">
        <v>145</v>
      </c>
      <c r="S354" s="40">
        <v>46078</v>
      </c>
      <c r="T354">
        <v>37.548369000000001</v>
      </c>
      <c r="U354">
        <v>126.92944799999999</v>
      </c>
      <c r="V354" t="s">
        <v>578</v>
      </c>
      <c r="W354" t="s">
        <v>548</v>
      </c>
      <c r="X354">
        <v>1</v>
      </c>
      <c r="Y354">
        <v>0</v>
      </c>
      <c r="Z354">
        <v>0</v>
      </c>
      <c r="AA354" t="s">
        <v>176</v>
      </c>
      <c r="AB354" t="s">
        <v>579</v>
      </c>
      <c r="AC354">
        <v>77000</v>
      </c>
      <c r="AD354">
        <v>0</v>
      </c>
      <c r="AE354" t="s">
        <v>101</v>
      </c>
      <c r="AF354" t="s">
        <v>481</v>
      </c>
      <c r="AG354" t="s">
        <v>103</v>
      </c>
      <c r="AH354">
        <v>353.10489569662644</v>
      </c>
      <c r="AI354" t="s">
        <v>47</v>
      </c>
      <c r="AJ354" t="s">
        <v>104</v>
      </c>
      <c r="AK354">
        <v>1239.2769741190828</v>
      </c>
      <c r="AL354" t="s">
        <v>105</v>
      </c>
      <c r="AM354" s="41" t="s">
        <v>482</v>
      </c>
    </row>
    <row r="355" spans="1:45" hidden="1">
      <c r="A355">
        <v>2610910904</v>
      </c>
      <c r="B355">
        <v>1144012000</v>
      </c>
      <c r="C355" t="s">
        <v>134</v>
      </c>
      <c r="D355" t="s">
        <v>0</v>
      </c>
      <c r="E355" t="s">
        <v>94</v>
      </c>
      <c r="F355" t="s">
        <v>108</v>
      </c>
      <c r="G355">
        <v>1</v>
      </c>
      <c r="H355">
        <v>19</v>
      </c>
      <c r="I355">
        <v>58000</v>
      </c>
      <c r="J355">
        <v>0</v>
      </c>
      <c r="K355" t="s">
        <v>331</v>
      </c>
      <c r="L355">
        <v>54</v>
      </c>
      <c r="M355">
        <v>16</v>
      </c>
      <c r="N355">
        <v>3625</v>
      </c>
      <c r="O355">
        <v>30.87</v>
      </c>
      <c r="P355">
        <v>9</v>
      </c>
      <c r="Q355">
        <v>6444</v>
      </c>
      <c r="R355" t="s">
        <v>154</v>
      </c>
      <c r="S355" s="40">
        <v>46079</v>
      </c>
      <c r="T355">
        <v>37.553798999999998</v>
      </c>
      <c r="U355">
        <v>126.92370099999999</v>
      </c>
      <c r="V355" t="s">
        <v>332</v>
      </c>
      <c r="W355" t="s">
        <v>333</v>
      </c>
      <c r="X355">
        <v>1</v>
      </c>
      <c r="Y355">
        <v>0</v>
      </c>
      <c r="Z355">
        <v>0</v>
      </c>
      <c r="AA355" t="s">
        <v>222</v>
      </c>
      <c r="AB355" t="s">
        <v>255</v>
      </c>
      <c r="AC355">
        <v>58000</v>
      </c>
      <c r="AD355">
        <v>0</v>
      </c>
      <c r="AE355" t="s">
        <v>101</v>
      </c>
      <c r="AF355" t="s">
        <v>165</v>
      </c>
      <c r="AG355" t="s">
        <v>166</v>
      </c>
      <c r="AH355">
        <v>344.14694489895248</v>
      </c>
      <c r="AI355" t="s">
        <v>47</v>
      </c>
      <c r="AJ355" t="s">
        <v>104</v>
      </c>
      <c r="AK355">
        <v>690.06417067304881</v>
      </c>
      <c r="AL355" t="s">
        <v>105</v>
      </c>
      <c r="AM355" s="41" t="s">
        <v>167</v>
      </c>
    </row>
    <row r="356" spans="1:45" hidden="1">
      <c r="A356">
        <v>2610865133</v>
      </c>
      <c r="B356">
        <v>1144011400</v>
      </c>
      <c r="C356" t="s">
        <v>93</v>
      </c>
      <c r="D356" t="s">
        <v>0</v>
      </c>
      <c r="E356" t="s">
        <v>94</v>
      </c>
      <c r="F356" t="s">
        <v>135</v>
      </c>
      <c r="G356">
        <v>1</v>
      </c>
      <c r="H356">
        <v>2</v>
      </c>
      <c r="I356">
        <v>78000</v>
      </c>
      <c r="J356">
        <v>0</v>
      </c>
      <c r="K356" t="s">
        <v>580</v>
      </c>
      <c r="L356">
        <v>63</v>
      </c>
      <c r="M356">
        <v>19</v>
      </c>
      <c r="N356">
        <v>4105</v>
      </c>
      <c r="O356">
        <v>40.9</v>
      </c>
      <c r="P356">
        <v>12</v>
      </c>
      <c r="Q356">
        <v>6500</v>
      </c>
      <c r="S356" s="40">
        <v>46079</v>
      </c>
      <c r="T356">
        <v>37.548369000000001</v>
      </c>
      <c r="U356">
        <v>126.92944799999999</v>
      </c>
      <c r="V356" t="s">
        <v>581</v>
      </c>
      <c r="W356" t="s">
        <v>548</v>
      </c>
      <c r="X356">
        <v>1</v>
      </c>
      <c r="Y356">
        <v>0</v>
      </c>
      <c r="Z356">
        <v>0</v>
      </c>
      <c r="AA356" t="s">
        <v>176</v>
      </c>
      <c r="AB356" t="s">
        <v>582</v>
      </c>
      <c r="AC356">
        <v>78000</v>
      </c>
      <c r="AD356">
        <v>0</v>
      </c>
      <c r="AE356" t="s">
        <v>101</v>
      </c>
      <c r="AF356" t="s">
        <v>481</v>
      </c>
      <c r="AG356" t="s">
        <v>103</v>
      </c>
      <c r="AH356">
        <v>353.10489569662644</v>
      </c>
      <c r="AI356" t="s">
        <v>47</v>
      </c>
      <c r="AJ356" t="s">
        <v>104</v>
      </c>
      <c r="AK356">
        <v>1239.2769741190828</v>
      </c>
      <c r="AL356" t="s">
        <v>105</v>
      </c>
      <c r="AM356" s="41" t="s">
        <v>482</v>
      </c>
    </row>
    <row r="357" spans="1:45" hidden="1">
      <c r="A357">
        <v>2610802947</v>
      </c>
      <c r="B357">
        <v>1144011400</v>
      </c>
      <c r="C357" t="s">
        <v>134</v>
      </c>
      <c r="D357" t="s">
        <v>0</v>
      </c>
      <c r="E357" t="s">
        <v>94</v>
      </c>
      <c r="F357" t="s">
        <v>135</v>
      </c>
      <c r="G357">
        <v>1</v>
      </c>
      <c r="H357">
        <v>3</v>
      </c>
      <c r="I357">
        <v>60000</v>
      </c>
      <c r="J357">
        <v>0</v>
      </c>
      <c r="K357" t="s">
        <v>345</v>
      </c>
      <c r="L357">
        <v>39</v>
      </c>
      <c r="M357">
        <v>11</v>
      </c>
      <c r="N357">
        <v>5454</v>
      </c>
      <c r="O357">
        <v>32.67</v>
      </c>
      <c r="P357">
        <v>9</v>
      </c>
      <c r="Q357">
        <v>6667</v>
      </c>
      <c r="R357" t="s">
        <v>161</v>
      </c>
      <c r="S357" s="40">
        <v>46079</v>
      </c>
      <c r="T357">
        <v>37.553373000000001</v>
      </c>
      <c r="U357">
        <v>126.93097899999999</v>
      </c>
      <c r="V357" t="s">
        <v>583</v>
      </c>
      <c r="W357" t="s">
        <v>584</v>
      </c>
      <c r="X357">
        <v>1</v>
      </c>
      <c r="Y357">
        <v>0</v>
      </c>
      <c r="Z357">
        <v>0</v>
      </c>
      <c r="AA357" t="s">
        <v>139</v>
      </c>
      <c r="AB357" t="s">
        <v>585</v>
      </c>
      <c r="AC357">
        <v>60000</v>
      </c>
      <c r="AD357">
        <v>0</v>
      </c>
      <c r="AE357" t="s">
        <v>101</v>
      </c>
      <c r="AF357" t="s">
        <v>475</v>
      </c>
      <c r="AG357" t="s">
        <v>476</v>
      </c>
      <c r="AH357">
        <v>499.0915895587475</v>
      </c>
      <c r="AI357" t="s">
        <v>47</v>
      </c>
      <c r="AJ357" t="s">
        <v>104</v>
      </c>
      <c r="AK357">
        <v>1426.9861087003221</v>
      </c>
      <c r="AL357" t="s">
        <v>105</v>
      </c>
      <c r="AM357" s="41" t="s">
        <v>586</v>
      </c>
    </row>
    <row r="358" spans="1:45">
      <c r="A358">
        <v>2608679999</v>
      </c>
      <c r="B358">
        <v>1144012000</v>
      </c>
      <c r="C358" t="s">
        <v>134</v>
      </c>
      <c r="D358" t="s">
        <v>0</v>
      </c>
      <c r="E358" t="s">
        <v>94</v>
      </c>
      <c r="F358" t="s">
        <v>244</v>
      </c>
      <c r="G358" t="s">
        <v>35</v>
      </c>
      <c r="H358">
        <v>2</v>
      </c>
      <c r="I358">
        <v>230000</v>
      </c>
      <c r="J358">
        <v>0</v>
      </c>
      <c r="K358" t="s">
        <v>385</v>
      </c>
      <c r="L358">
        <v>178</v>
      </c>
      <c r="M358">
        <v>53</v>
      </c>
      <c r="N358">
        <v>4339</v>
      </c>
      <c r="O358">
        <v>80.36</v>
      </c>
      <c r="P358">
        <v>24</v>
      </c>
      <c r="Q358">
        <v>9583</v>
      </c>
      <c r="R358" t="s">
        <v>96</v>
      </c>
      <c r="S358" s="40">
        <v>46066</v>
      </c>
      <c r="T358">
        <v>37.550941999999999</v>
      </c>
      <c r="U358">
        <v>126.913787</v>
      </c>
      <c r="V358" t="s">
        <v>386</v>
      </c>
      <c r="W358" t="s">
        <v>189</v>
      </c>
      <c r="X358">
        <v>1</v>
      </c>
      <c r="Y358">
        <v>0</v>
      </c>
      <c r="Z358">
        <v>0</v>
      </c>
      <c r="AA358" t="s">
        <v>247</v>
      </c>
      <c r="AB358" t="s">
        <v>248</v>
      </c>
      <c r="AC358">
        <v>230000</v>
      </c>
      <c r="AD358">
        <v>0</v>
      </c>
      <c r="AE358" t="s">
        <v>101</v>
      </c>
      <c r="AF358" t="s">
        <v>115</v>
      </c>
      <c r="AG358" t="s">
        <v>116</v>
      </c>
      <c r="AH358">
        <v>132.09524505029225</v>
      </c>
      <c r="AI358" t="s">
        <v>47</v>
      </c>
      <c r="AJ358" t="s">
        <v>104</v>
      </c>
      <c r="AK358">
        <v>528.49483569447079</v>
      </c>
      <c r="AL358">
        <v>1</v>
      </c>
      <c r="AM358" s="41" t="s">
        <v>178</v>
      </c>
      <c r="AN358">
        <f>IFERROR(VALUE(LEFT($W358,FIND("년",$W358)-1)),"")</f>
        <v>15</v>
      </c>
      <c r="AO358" t="str">
        <f>IFERROR(IF(FIND("년",$W358)=3,MID($W358,FIND("년",$W358)+1,FIND("년",$W358)-1),MID($W358,FIND("년",$W358)+1,FIND("년",$W358))),"")</f>
        <v>이내</v>
      </c>
      <c r="AP358">
        <f>IFERROR(IF($AN358&lt;11,10,IF(AND($AN358&lt;26,$AO358="이내"),25,26)),"")</f>
        <v>25</v>
      </c>
      <c r="AQ358">
        <f>IFERROR(IF($P358&lt;10,9,IF($P358&lt;20,10,IF($P358&lt;30,20,IF($P358&lt;40,30,40)))),"")</f>
        <v>20</v>
      </c>
      <c r="AR358" t="str">
        <f>IFERROR(IF($D358="상가",IF($G358="1","1층",IF($G358="전체층","전체층",IF(LEFT($G358,1)="B","B1",IF($G358&lt;6,"저",IF($G358/$H358&lt;=$BC$9,"저",IF($G358/$H358&lt;=$BC$10,"중","고")))))),IF(LEFT($G358,1)="B","B1",IF($H358&lt;6,"저",IF($G358/$H358&lt;=$BC$2,"저",IF($G358/$H358&lt;=$BC$3,"중","고"))))),"")</f>
        <v>B1</v>
      </c>
      <c r="AS358">
        <f>IFERROR(ACOS(SIN(RADIANS(거래사례!$S$11))*SIN(RADIANS($T358))+COS(RADIANS(거래사례!$S$11))*COS(RADIANS($T358))*COS(RADIANS($U358-거래사례!$P$11)))*6371000,"")</f>
        <v>1675.8614531849782</v>
      </c>
    </row>
    <row r="359" spans="1:45" hidden="1">
      <c r="A359">
        <v>2611909914</v>
      </c>
      <c r="B359">
        <v>1144011100</v>
      </c>
      <c r="C359" t="s">
        <v>134</v>
      </c>
      <c r="D359" t="s">
        <v>0</v>
      </c>
      <c r="E359" t="s">
        <v>94</v>
      </c>
      <c r="F359" t="s">
        <v>135</v>
      </c>
      <c r="G359">
        <v>1</v>
      </c>
      <c r="H359">
        <v>1</v>
      </c>
      <c r="I359">
        <v>77000</v>
      </c>
      <c r="J359">
        <v>0</v>
      </c>
      <c r="K359" t="s">
        <v>576</v>
      </c>
      <c r="L359">
        <v>72</v>
      </c>
      <c r="M359">
        <v>21</v>
      </c>
      <c r="N359">
        <v>3666</v>
      </c>
      <c r="O359">
        <v>38.479999999999997</v>
      </c>
      <c r="P359">
        <v>11</v>
      </c>
      <c r="Q359">
        <v>7000</v>
      </c>
      <c r="R359" t="s">
        <v>154</v>
      </c>
      <c r="S359" s="40">
        <v>46085</v>
      </c>
      <c r="T359">
        <v>37.551087000000003</v>
      </c>
      <c r="U359">
        <v>126.934427</v>
      </c>
      <c r="V359" t="s">
        <v>587</v>
      </c>
      <c r="W359" t="s">
        <v>405</v>
      </c>
      <c r="X359">
        <v>1</v>
      </c>
      <c r="Y359">
        <v>0</v>
      </c>
      <c r="Z359">
        <v>0</v>
      </c>
      <c r="AA359" t="s">
        <v>176</v>
      </c>
      <c r="AB359" t="s">
        <v>480</v>
      </c>
      <c r="AC359">
        <v>77000</v>
      </c>
      <c r="AD359">
        <v>0</v>
      </c>
      <c r="AE359" t="s">
        <v>101</v>
      </c>
      <c r="AF359" t="s">
        <v>475</v>
      </c>
      <c r="AG359" t="s">
        <v>476</v>
      </c>
      <c r="AH359">
        <v>164.32942527335157</v>
      </c>
      <c r="AI359" t="s">
        <v>47</v>
      </c>
      <c r="AJ359" t="s">
        <v>104</v>
      </c>
      <c r="AK359">
        <v>1272.2165016406389</v>
      </c>
      <c r="AL359" t="s">
        <v>105</v>
      </c>
      <c r="AM359" s="41" t="s">
        <v>524</v>
      </c>
    </row>
    <row r="360" spans="1:45" hidden="1">
      <c r="A360">
        <v>2611509427</v>
      </c>
      <c r="B360">
        <v>1144011100</v>
      </c>
      <c r="C360" t="s">
        <v>134</v>
      </c>
      <c r="D360" t="s">
        <v>0</v>
      </c>
      <c r="E360" t="s">
        <v>94</v>
      </c>
      <c r="F360" t="s">
        <v>135</v>
      </c>
      <c r="G360">
        <v>1</v>
      </c>
      <c r="H360">
        <v>1</v>
      </c>
      <c r="I360">
        <v>77000</v>
      </c>
      <c r="J360">
        <v>0</v>
      </c>
      <c r="K360" t="s">
        <v>576</v>
      </c>
      <c r="L360">
        <v>72</v>
      </c>
      <c r="M360">
        <v>21</v>
      </c>
      <c r="N360">
        <v>3666</v>
      </c>
      <c r="O360">
        <v>38.479999999999997</v>
      </c>
      <c r="P360">
        <v>11</v>
      </c>
      <c r="Q360">
        <v>7000</v>
      </c>
      <c r="R360" t="s">
        <v>154</v>
      </c>
      <c r="S360" s="40">
        <v>46083</v>
      </c>
      <c r="T360">
        <v>37.551087000000003</v>
      </c>
      <c r="U360">
        <v>126.934427</v>
      </c>
      <c r="V360" t="s">
        <v>588</v>
      </c>
      <c r="W360" t="s">
        <v>405</v>
      </c>
      <c r="X360">
        <v>3</v>
      </c>
      <c r="Y360" t="s">
        <v>576</v>
      </c>
      <c r="Z360" t="s">
        <v>576</v>
      </c>
      <c r="AA360" t="s">
        <v>139</v>
      </c>
      <c r="AB360" t="s">
        <v>589</v>
      </c>
      <c r="AC360">
        <v>77000</v>
      </c>
      <c r="AD360">
        <v>0</v>
      </c>
      <c r="AE360" t="s">
        <v>101</v>
      </c>
      <c r="AF360" t="s">
        <v>475</v>
      </c>
      <c r="AG360" t="s">
        <v>476</v>
      </c>
      <c r="AH360">
        <v>164.32942527335157</v>
      </c>
      <c r="AI360" t="s">
        <v>47</v>
      </c>
      <c r="AJ360" t="s">
        <v>104</v>
      </c>
      <c r="AK360">
        <v>1272.2165016406389</v>
      </c>
      <c r="AL360" t="s">
        <v>105</v>
      </c>
      <c r="AM360" s="41" t="s">
        <v>524</v>
      </c>
    </row>
    <row r="361" spans="1:45" hidden="1">
      <c r="A361">
        <v>2608803741</v>
      </c>
      <c r="B361">
        <v>1144011100</v>
      </c>
      <c r="C361" t="s">
        <v>134</v>
      </c>
      <c r="D361" t="s">
        <v>0</v>
      </c>
      <c r="E361" t="s">
        <v>94</v>
      </c>
      <c r="F361" t="s">
        <v>135</v>
      </c>
      <c r="G361">
        <v>1</v>
      </c>
      <c r="H361">
        <v>1</v>
      </c>
      <c r="I361">
        <v>77000</v>
      </c>
      <c r="J361">
        <v>0</v>
      </c>
      <c r="K361" t="s">
        <v>576</v>
      </c>
      <c r="L361">
        <v>72</v>
      </c>
      <c r="M361">
        <v>21</v>
      </c>
      <c r="N361">
        <v>3666</v>
      </c>
      <c r="O361">
        <v>38.479999999999997</v>
      </c>
      <c r="P361">
        <v>11</v>
      </c>
      <c r="Q361">
        <v>7000</v>
      </c>
      <c r="S361" s="40">
        <v>46067</v>
      </c>
      <c r="T361">
        <v>37.551091999999997</v>
      </c>
      <c r="U361">
        <v>126.934428</v>
      </c>
      <c r="V361" t="s">
        <v>590</v>
      </c>
      <c r="W361" t="s">
        <v>591</v>
      </c>
      <c r="X361">
        <v>1</v>
      </c>
      <c r="Y361">
        <v>0</v>
      </c>
      <c r="Z361">
        <v>0</v>
      </c>
      <c r="AA361" t="s">
        <v>176</v>
      </c>
      <c r="AB361" t="s">
        <v>592</v>
      </c>
      <c r="AC361">
        <v>77000</v>
      </c>
      <c r="AD361">
        <v>0</v>
      </c>
      <c r="AE361" t="s">
        <v>101</v>
      </c>
      <c r="AF361" t="s">
        <v>475</v>
      </c>
      <c r="AG361" t="s">
        <v>476</v>
      </c>
      <c r="AH361">
        <v>163.81954637736581</v>
      </c>
      <c r="AI361" t="s">
        <v>47</v>
      </c>
      <c r="AJ361" t="s">
        <v>104</v>
      </c>
      <c r="AK361">
        <v>1271.8041472437619</v>
      </c>
      <c r="AL361" t="s">
        <v>105</v>
      </c>
      <c r="AM361" s="41" t="s">
        <v>524</v>
      </c>
    </row>
    <row r="362" spans="1:45" hidden="1">
      <c r="A362">
        <v>2607335393</v>
      </c>
      <c r="B362">
        <v>1144011100</v>
      </c>
      <c r="C362" t="s">
        <v>93</v>
      </c>
      <c r="D362" t="s">
        <v>0</v>
      </c>
      <c r="E362" t="s">
        <v>94</v>
      </c>
      <c r="F362" t="s">
        <v>108</v>
      </c>
      <c r="G362">
        <v>1</v>
      </c>
      <c r="H362">
        <v>1</v>
      </c>
      <c r="I362">
        <v>77000</v>
      </c>
      <c r="J362">
        <v>0</v>
      </c>
      <c r="K362" t="s">
        <v>576</v>
      </c>
      <c r="L362">
        <v>72</v>
      </c>
      <c r="M362">
        <v>21</v>
      </c>
      <c r="N362">
        <v>3666</v>
      </c>
      <c r="O362">
        <v>38.479999999999997</v>
      </c>
      <c r="P362">
        <v>11</v>
      </c>
      <c r="Q362">
        <v>7000</v>
      </c>
      <c r="R362" t="s">
        <v>154</v>
      </c>
      <c r="S362" s="40">
        <v>46059</v>
      </c>
      <c r="T362">
        <v>37.551091999999997</v>
      </c>
      <c r="U362">
        <v>126.934428</v>
      </c>
      <c r="V362" t="s">
        <v>593</v>
      </c>
      <c r="W362" t="s">
        <v>594</v>
      </c>
      <c r="X362">
        <v>1</v>
      </c>
      <c r="Y362">
        <v>0</v>
      </c>
      <c r="Z362">
        <v>0</v>
      </c>
      <c r="AA362" t="s">
        <v>328</v>
      </c>
      <c r="AB362" t="s">
        <v>595</v>
      </c>
      <c r="AC362">
        <v>77000</v>
      </c>
      <c r="AD362">
        <v>0</v>
      </c>
      <c r="AE362" t="s">
        <v>101</v>
      </c>
      <c r="AF362" t="s">
        <v>475</v>
      </c>
      <c r="AG362" t="s">
        <v>476</v>
      </c>
      <c r="AH362">
        <v>163.81954637736581</v>
      </c>
      <c r="AI362" t="s">
        <v>47</v>
      </c>
      <c r="AJ362" t="s">
        <v>104</v>
      </c>
      <c r="AK362">
        <v>1271.8041472437619</v>
      </c>
      <c r="AL362" t="s">
        <v>105</v>
      </c>
      <c r="AM362" s="41" t="s">
        <v>524</v>
      </c>
    </row>
    <row r="363" spans="1:45" hidden="1">
      <c r="A363">
        <v>2606287748</v>
      </c>
      <c r="B363">
        <v>1144011100</v>
      </c>
      <c r="C363" t="s">
        <v>134</v>
      </c>
      <c r="D363" t="s">
        <v>0</v>
      </c>
      <c r="E363" t="s">
        <v>94</v>
      </c>
      <c r="F363" t="s">
        <v>135</v>
      </c>
      <c r="G363">
        <v>1</v>
      </c>
      <c r="H363">
        <v>1</v>
      </c>
      <c r="I363">
        <v>77000</v>
      </c>
      <c r="J363">
        <v>0</v>
      </c>
      <c r="K363" t="s">
        <v>576</v>
      </c>
      <c r="L363">
        <v>75</v>
      </c>
      <c r="M363">
        <v>22</v>
      </c>
      <c r="N363">
        <v>3500</v>
      </c>
      <c r="O363">
        <v>38.479999999999997</v>
      </c>
      <c r="P363">
        <v>11</v>
      </c>
      <c r="Q363">
        <v>7000</v>
      </c>
      <c r="R363" t="s">
        <v>136</v>
      </c>
      <c r="S363" s="40">
        <v>46055</v>
      </c>
      <c r="T363">
        <v>37.551091999999997</v>
      </c>
      <c r="U363">
        <v>126.934428</v>
      </c>
      <c r="V363" t="s">
        <v>596</v>
      </c>
      <c r="W363" t="s">
        <v>401</v>
      </c>
      <c r="X363">
        <v>1</v>
      </c>
      <c r="Y363">
        <v>0</v>
      </c>
      <c r="Z363">
        <v>0</v>
      </c>
      <c r="AA363" t="s">
        <v>113</v>
      </c>
      <c r="AB363" t="s">
        <v>523</v>
      </c>
      <c r="AC363">
        <v>77000</v>
      </c>
      <c r="AD363">
        <v>0</v>
      </c>
      <c r="AE363" t="s">
        <v>101</v>
      </c>
      <c r="AF363" t="s">
        <v>475</v>
      </c>
      <c r="AG363" t="s">
        <v>476</v>
      </c>
      <c r="AH363">
        <v>163.81954637736581</v>
      </c>
      <c r="AI363" t="s">
        <v>47</v>
      </c>
      <c r="AJ363" t="s">
        <v>104</v>
      </c>
      <c r="AK363">
        <v>1271.8041472437619</v>
      </c>
      <c r="AL363" t="s">
        <v>105</v>
      </c>
      <c r="AM363" s="41" t="s">
        <v>524</v>
      </c>
    </row>
    <row r="364" spans="1:45" hidden="1">
      <c r="A364">
        <v>2609555151</v>
      </c>
      <c r="B364">
        <v>1144011100</v>
      </c>
      <c r="C364" t="s">
        <v>134</v>
      </c>
      <c r="D364" t="s">
        <v>0</v>
      </c>
      <c r="E364" t="s">
        <v>94</v>
      </c>
      <c r="F364" t="s">
        <v>135</v>
      </c>
      <c r="G364">
        <v>1</v>
      </c>
      <c r="H364">
        <v>1</v>
      </c>
      <c r="I364">
        <v>78000</v>
      </c>
      <c r="J364">
        <v>0</v>
      </c>
      <c r="K364" t="s">
        <v>580</v>
      </c>
      <c r="L364">
        <v>68</v>
      </c>
      <c r="M364">
        <v>20</v>
      </c>
      <c r="N364">
        <v>3900</v>
      </c>
      <c r="O364">
        <v>38.56</v>
      </c>
      <c r="P364">
        <v>11</v>
      </c>
      <c r="Q364">
        <v>7091</v>
      </c>
      <c r="R364" t="s">
        <v>154</v>
      </c>
      <c r="S364" s="40">
        <v>46073</v>
      </c>
      <c r="T364">
        <v>37.551091999999997</v>
      </c>
      <c r="U364">
        <v>126.934428</v>
      </c>
      <c r="V364" t="s">
        <v>597</v>
      </c>
      <c r="W364" t="s">
        <v>598</v>
      </c>
      <c r="X364">
        <v>1</v>
      </c>
      <c r="Y364">
        <v>0</v>
      </c>
      <c r="Z364">
        <v>0</v>
      </c>
      <c r="AA364" t="s">
        <v>176</v>
      </c>
      <c r="AB364" t="s">
        <v>599</v>
      </c>
      <c r="AC364">
        <v>78000</v>
      </c>
      <c r="AD364">
        <v>0</v>
      </c>
      <c r="AE364" t="s">
        <v>101</v>
      </c>
      <c r="AF364" t="s">
        <v>475</v>
      </c>
      <c r="AG364" t="s">
        <v>476</v>
      </c>
      <c r="AH364">
        <v>163.81954637736581</v>
      </c>
      <c r="AI364" t="s">
        <v>47</v>
      </c>
      <c r="AJ364" t="s">
        <v>104</v>
      </c>
      <c r="AK364">
        <v>1271.8041472437619</v>
      </c>
      <c r="AL364" t="s">
        <v>105</v>
      </c>
      <c r="AM364" s="41" t="s">
        <v>524</v>
      </c>
    </row>
    <row r="365" spans="1:45" hidden="1">
      <c r="A365">
        <v>2610774681</v>
      </c>
      <c r="B365">
        <v>1144011100</v>
      </c>
      <c r="C365" t="s">
        <v>134</v>
      </c>
      <c r="D365" t="s">
        <v>0</v>
      </c>
      <c r="E365" t="s">
        <v>94</v>
      </c>
      <c r="F365" t="s">
        <v>135</v>
      </c>
      <c r="G365">
        <v>1</v>
      </c>
      <c r="H365">
        <v>1</v>
      </c>
      <c r="I365">
        <v>80000</v>
      </c>
      <c r="J365">
        <v>0</v>
      </c>
      <c r="K365" t="s">
        <v>372</v>
      </c>
      <c r="L365">
        <v>72</v>
      </c>
      <c r="M365">
        <v>21</v>
      </c>
      <c r="N365">
        <v>3809</v>
      </c>
      <c r="O365">
        <v>38.479999999999997</v>
      </c>
      <c r="P365">
        <v>11</v>
      </c>
      <c r="Q365">
        <v>7273</v>
      </c>
      <c r="R365" t="s">
        <v>161</v>
      </c>
      <c r="S365" s="40">
        <v>46079</v>
      </c>
      <c r="T365">
        <v>37.551087000000003</v>
      </c>
      <c r="U365">
        <v>126.934427</v>
      </c>
      <c r="V365" t="s">
        <v>600</v>
      </c>
      <c r="W365" t="s">
        <v>405</v>
      </c>
      <c r="X365">
        <v>1</v>
      </c>
      <c r="Y365">
        <v>0</v>
      </c>
      <c r="Z365">
        <v>0</v>
      </c>
      <c r="AA365" t="s">
        <v>99</v>
      </c>
      <c r="AB365" t="s">
        <v>552</v>
      </c>
      <c r="AC365">
        <v>80000</v>
      </c>
      <c r="AD365">
        <v>0</v>
      </c>
      <c r="AE365" t="s">
        <v>101</v>
      </c>
      <c r="AF365" t="s">
        <v>475</v>
      </c>
      <c r="AG365" t="s">
        <v>476</v>
      </c>
      <c r="AH365">
        <v>164.32942527335157</v>
      </c>
      <c r="AI365" t="s">
        <v>47</v>
      </c>
      <c r="AJ365" t="s">
        <v>104</v>
      </c>
      <c r="AK365">
        <v>1272.2165016406389</v>
      </c>
      <c r="AL365" t="s">
        <v>105</v>
      </c>
      <c r="AM365" s="41" t="s">
        <v>524</v>
      </c>
    </row>
    <row r="366" spans="1:45" hidden="1">
      <c r="A366">
        <v>2609794568</v>
      </c>
      <c r="B366">
        <v>1144011100</v>
      </c>
      <c r="C366" t="s">
        <v>134</v>
      </c>
      <c r="D366" t="s">
        <v>0</v>
      </c>
      <c r="E366" t="s">
        <v>94</v>
      </c>
      <c r="F366" t="s">
        <v>135</v>
      </c>
      <c r="G366">
        <v>1</v>
      </c>
      <c r="H366">
        <v>1</v>
      </c>
      <c r="I366">
        <v>80000</v>
      </c>
      <c r="J366">
        <v>0</v>
      </c>
      <c r="K366" t="s">
        <v>372</v>
      </c>
      <c r="L366">
        <v>72</v>
      </c>
      <c r="M366">
        <v>21</v>
      </c>
      <c r="N366">
        <v>3809</v>
      </c>
      <c r="O366">
        <v>38.479999999999997</v>
      </c>
      <c r="P366">
        <v>11</v>
      </c>
      <c r="Q366">
        <v>7273</v>
      </c>
      <c r="R366" t="s">
        <v>161</v>
      </c>
      <c r="S366" s="40">
        <v>46074</v>
      </c>
      <c r="T366">
        <v>37.551091999999997</v>
      </c>
      <c r="U366">
        <v>126.934428</v>
      </c>
      <c r="V366" t="s">
        <v>601</v>
      </c>
      <c r="W366" t="s">
        <v>405</v>
      </c>
      <c r="X366">
        <v>1</v>
      </c>
      <c r="Y366">
        <v>0</v>
      </c>
      <c r="Z366">
        <v>0</v>
      </c>
      <c r="AA366" t="s">
        <v>113</v>
      </c>
      <c r="AB366" t="s">
        <v>552</v>
      </c>
      <c r="AC366">
        <v>80000</v>
      </c>
      <c r="AD366">
        <v>0</v>
      </c>
      <c r="AE366" t="s">
        <v>101</v>
      </c>
      <c r="AF366" t="s">
        <v>475</v>
      </c>
      <c r="AG366" t="s">
        <v>476</v>
      </c>
      <c r="AH366">
        <v>163.81954637736581</v>
      </c>
      <c r="AI366" t="s">
        <v>47</v>
      </c>
      <c r="AJ366" t="s">
        <v>104</v>
      </c>
      <c r="AK366">
        <v>1271.8041472437619</v>
      </c>
      <c r="AL366" t="s">
        <v>105</v>
      </c>
      <c r="AM366" s="41" t="s">
        <v>524</v>
      </c>
    </row>
    <row r="367" spans="1:45" hidden="1">
      <c r="A367">
        <v>2611911326</v>
      </c>
      <c r="B367">
        <v>1144011400</v>
      </c>
      <c r="C367" t="s">
        <v>134</v>
      </c>
      <c r="D367" t="s">
        <v>0</v>
      </c>
      <c r="E367" t="s">
        <v>94</v>
      </c>
      <c r="F367" t="s">
        <v>135</v>
      </c>
      <c r="G367">
        <v>1</v>
      </c>
      <c r="H367">
        <v>2</v>
      </c>
      <c r="I367">
        <v>110000</v>
      </c>
      <c r="J367">
        <v>0</v>
      </c>
      <c r="K367" t="s">
        <v>229</v>
      </c>
      <c r="L367">
        <v>50</v>
      </c>
      <c r="M367">
        <v>15</v>
      </c>
      <c r="N367">
        <v>7333</v>
      </c>
      <c r="O367">
        <v>50.9</v>
      </c>
      <c r="P367">
        <v>15</v>
      </c>
      <c r="Q367">
        <v>7333</v>
      </c>
      <c r="R367" t="s">
        <v>145</v>
      </c>
      <c r="S367" s="40">
        <v>46085</v>
      </c>
      <c r="T367">
        <v>37.548369000000001</v>
      </c>
      <c r="U367">
        <v>126.92944799999999</v>
      </c>
      <c r="V367" t="s">
        <v>602</v>
      </c>
      <c r="W367" t="s">
        <v>603</v>
      </c>
      <c r="X367">
        <v>1</v>
      </c>
      <c r="Y367">
        <v>0</v>
      </c>
      <c r="Z367">
        <v>0</v>
      </c>
      <c r="AA367" t="s">
        <v>176</v>
      </c>
      <c r="AB367" t="s">
        <v>480</v>
      </c>
      <c r="AC367">
        <v>110000</v>
      </c>
      <c r="AD367">
        <v>0</v>
      </c>
      <c r="AE367" t="s">
        <v>101</v>
      </c>
      <c r="AF367" t="s">
        <v>481</v>
      </c>
      <c r="AG367" t="s">
        <v>103</v>
      </c>
      <c r="AH367">
        <v>353.10489569662644</v>
      </c>
      <c r="AI367" t="s">
        <v>47</v>
      </c>
      <c r="AJ367" t="s">
        <v>104</v>
      </c>
      <c r="AK367">
        <v>1239.2769741190828</v>
      </c>
      <c r="AL367" t="s">
        <v>105</v>
      </c>
      <c r="AM367" s="41" t="s">
        <v>482</v>
      </c>
    </row>
    <row r="368" spans="1:45" hidden="1">
      <c r="A368">
        <v>2611577813</v>
      </c>
      <c r="B368">
        <v>1144011400</v>
      </c>
      <c r="C368" t="s">
        <v>134</v>
      </c>
      <c r="D368" t="s">
        <v>0</v>
      </c>
      <c r="E368" t="s">
        <v>94</v>
      </c>
      <c r="F368" t="s">
        <v>108</v>
      </c>
      <c r="G368">
        <v>1</v>
      </c>
      <c r="H368">
        <v>2</v>
      </c>
      <c r="I368">
        <v>110000</v>
      </c>
      <c r="J368">
        <v>0</v>
      </c>
      <c r="K368" t="s">
        <v>229</v>
      </c>
      <c r="L368">
        <v>70</v>
      </c>
      <c r="M368">
        <v>21</v>
      </c>
      <c r="N368">
        <v>5238</v>
      </c>
      <c r="O368">
        <v>50.9</v>
      </c>
      <c r="P368">
        <v>15</v>
      </c>
      <c r="Q368">
        <v>7333</v>
      </c>
      <c r="R368" t="s">
        <v>145</v>
      </c>
      <c r="S368" s="40">
        <v>46084</v>
      </c>
      <c r="T368">
        <v>37.548369000000001</v>
      </c>
      <c r="U368">
        <v>126.92944799999999</v>
      </c>
      <c r="V368" t="s">
        <v>604</v>
      </c>
      <c r="W368" t="s">
        <v>548</v>
      </c>
      <c r="X368">
        <v>1</v>
      </c>
      <c r="Y368">
        <v>0</v>
      </c>
      <c r="Z368">
        <v>0</v>
      </c>
      <c r="AA368" t="s">
        <v>113</v>
      </c>
      <c r="AB368" t="s">
        <v>605</v>
      </c>
      <c r="AC368">
        <v>110000</v>
      </c>
      <c r="AD368">
        <v>0</v>
      </c>
      <c r="AE368" t="s">
        <v>101</v>
      </c>
      <c r="AF368" t="s">
        <v>481</v>
      </c>
      <c r="AG368" t="s">
        <v>103</v>
      </c>
      <c r="AH368">
        <v>353.10489569662644</v>
      </c>
      <c r="AI368" t="s">
        <v>47</v>
      </c>
      <c r="AJ368" t="s">
        <v>104</v>
      </c>
      <c r="AK368">
        <v>1239.2769741190828</v>
      </c>
      <c r="AL368" t="s">
        <v>105</v>
      </c>
      <c r="AM368" s="41" t="s">
        <v>482</v>
      </c>
    </row>
    <row r="369" spans="1:45" hidden="1">
      <c r="A369">
        <v>2611213034</v>
      </c>
      <c r="B369">
        <v>1144011400</v>
      </c>
      <c r="C369" t="s">
        <v>134</v>
      </c>
      <c r="D369" t="s">
        <v>0</v>
      </c>
      <c r="E369" t="s">
        <v>94</v>
      </c>
      <c r="F369" t="s">
        <v>135</v>
      </c>
      <c r="G369">
        <v>1</v>
      </c>
      <c r="H369">
        <v>2</v>
      </c>
      <c r="I369">
        <v>110000</v>
      </c>
      <c r="J369">
        <v>0</v>
      </c>
      <c r="K369" t="s">
        <v>229</v>
      </c>
      <c r="L369">
        <v>78</v>
      </c>
      <c r="M369">
        <v>23</v>
      </c>
      <c r="N369">
        <v>4782</v>
      </c>
      <c r="O369">
        <v>50.9</v>
      </c>
      <c r="P369">
        <v>15</v>
      </c>
      <c r="Q369">
        <v>7333</v>
      </c>
      <c r="R369" t="s">
        <v>145</v>
      </c>
      <c r="S369" s="40">
        <v>46081</v>
      </c>
      <c r="T369">
        <v>37.548164999999997</v>
      </c>
      <c r="U369">
        <v>126.930981</v>
      </c>
      <c r="V369" t="s">
        <v>606</v>
      </c>
      <c r="W369" t="s">
        <v>603</v>
      </c>
      <c r="X369">
        <v>1</v>
      </c>
      <c r="Y369">
        <v>0</v>
      </c>
      <c r="Z369">
        <v>0</v>
      </c>
      <c r="AA369" t="s">
        <v>176</v>
      </c>
      <c r="AB369" t="s">
        <v>592</v>
      </c>
      <c r="AC369">
        <v>110000</v>
      </c>
      <c r="AD369">
        <v>0</v>
      </c>
      <c r="AE369" t="s">
        <v>101</v>
      </c>
      <c r="AF369" t="s">
        <v>481</v>
      </c>
      <c r="AG369" t="s">
        <v>103</v>
      </c>
      <c r="AH369">
        <v>185.69615376552326</v>
      </c>
      <c r="AI369" t="s">
        <v>47</v>
      </c>
      <c r="AJ369" t="s">
        <v>104</v>
      </c>
      <c r="AK369">
        <v>1411.2236073411825</v>
      </c>
      <c r="AL369" t="s">
        <v>105</v>
      </c>
      <c r="AM369" s="41" t="s">
        <v>482</v>
      </c>
    </row>
    <row r="370" spans="1:45" hidden="1">
      <c r="A370">
        <v>2609716030</v>
      </c>
      <c r="B370">
        <v>1144012000</v>
      </c>
      <c r="C370" t="s">
        <v>134</v>
      </c>
      <c r="D370" t="s">
        <v>0</v>
      </c>
      <c r="E370" t="s">
        <v>94</v>
      </c>
      <c r="F370" t="s">
        <v>108</v>
      </c>
      <c r="G370">
        <v>1</v>
      </c>
      <c r="H370">
        <v>24</v>
      </c>
      <c r="I370">
        <v>60000</v>
      </c>
      <c r="J370">
        <v>0</v>
      </c>
      <c r="K370" t="s">
        <v>345</v>
      </c>
      <c r="L370">
        <v>29</v>
      </c>
      <c r="M370">
        <v>8</v>
      </c>
      <c r="N370">
        <v>7500</v>
      </c>
      <c r="O370">
        <v>29.3</v>
      </c>
      <c r="P370">
        <v>8</v>
      </c>
      <c r="Q370">
        <v>7500</v>
      </c>
      <c r="R370" t="s">
        <v>145</v>
      </c>
      <c r="S370" s="40">
        <v>46074</v>
      </c>
      <c r="T370">
        <v>37.550803000000002</v>
      </c>
      <c r="U370">
        <v>126.91672199999999</v>
      </c>
      <c r="V370" t="s">
        <v>346</v>
      </c>
      <c r="W370" t="s">
        <v>347</v>
      </c>
      <c r="X370">
        <v>1</v>
      </c>
      <c r="Y370">
        <v>0</v>
      </c>
      <c r="Z370">
        <v>0</v>
      </c>
      <c r="AA370" t="s">
        <v>139</v>
      </c>
      <c r="AB370" t="s">
        <v>337</v>
      </c>
      <c r="AC370">
        <v>60000</v>
      </c>
      <c r="AD370">
        <v>0</v>
      </c>
      <c r="AE370" t="s">
        <v>101</v>
      </c>
      <c r="AF370" t="s">
        <v>115</v>
      </c>
      <c r="AG370" t="s">
        <v>116</v>
      </c>
      <c r="AH370">
        <v>244.27878031988089</v>
      </c>
      <c r="AI370" t="s">
        <v>47</v>
      </c>
      <c r="AJ370" t="s">
        <v>104</v>
      </c>
      <c r="AK370">
        <v>203.1206532669033</v>
      </c>
      <c r="AL370">
        <v>1</v>
      </c>
      <c r="AM370" s="41" t="s">
        <v>348</v>
      </c>
    </row>
    <row r="371" spans="1:45" hidden="1">
      <c r="A371">
        <v>2606953485</v>
      </c>
      <c r="B371">
        <v>1144012000</v>
      </c>
      <c r="C371" t="s">
        <v>134</v>
      </c>
      <c r="D371" t="s">
        <v>0</v>
      </c>
      <c r="E371" t="s">
        <v>94</v>
      </c>
      <c r="F371" t="s">
        <v>95</v>
      </c>
      <c r="G371">
        <v>1</v>
      </c>
      <c r="H371">
        <v>24</v>
      </c>
      <c r="I371">
        <v>124000</v>
      </c>
      <c r="J371">
        <v>0</v>
      </c>
      <c r="K371" t="s">
        <v>351</v>
      </c>
      <c r="L371">
        <v>96</v>
      </c>
      <c r="M371">
        <v>29</v>
      </c>
      <c r="N371">
        <v>4275</v>
      </c>
      <c r="O371">
        <v>53.12</v>
      </c>
      <c r="P371">
        <v>16</v>
      </c>
      <c r="Q371">
        <v>7750</v>
      </c>
      <c r="R371" t="s">
        <v>145</v>
      </c>
      <c r="S371" s="40">
        <v>46058</v>
      </c>
      <c r="T371">
        <v>37.550803000000002</v>
      </c>
      <c r="U371">
        <v>126.91672199999999</v>
      </c>
      <c r="V371" t="s">
        <v>352</v>
      </c>
      <c r="W371" t="s">
        <v>347</v>
      </c>
      <c r="X371">
        <v>1</v>
      </c>
      <c r="Y371">
        <v>0</v>
      </c>
      <c r="Z371">
        <v>0</v>
      </c>
      <c r="AA371" t="s">
        <v>99</v>
      </c>
      <c r="AB371" t="s">
        <v>353</v>
      </c>
      <c r="AC371">
        <v>124000</v>
      </c>
      <c r="AD371">
        <v>0</v>
      </c>
      <c r="AE371" t="s">
        <v>101</v>
      </c>
      <c r="AF371" t="s">
        <v>115</v>
      </c>
      <c r="AG371" t="s">
        <v>116</v>
      </c>
      <c r="AH371">
        <v>244.27878031988089</v>
      </c>
      <c r="AI371" t="s">
        <v>47</v>
      </c>
      <c r="AJ371" t="s">
        <v>104</v>
      </c>
      <c r="AK371">
        <v>203.1206532669033</v>
      </c>
      <c r="AL371">
        <v>1</v>
      </c>
      <c r="AM371" s="41" t="s">
        <v>348</v>
      </c>
    </row>
    <row r="372" spans="1:45" hidden="1">
      <c r="A372">
        <v>2609124574</v>
      </c>
      <c r="B372">
        <v>1144012400</v>
      </c>
      <c r="C372" t="s">
        <v>93</v>
      </c>
      <c r="D372" t="s">
        <v>0</v>
      </c>
      <c r="E372" t="s">
        <v>94</v>
      </c>
      <c r="F372" t="s">
        <v>95</v>
      </c>
      <c r="G372">
        <v>1</v>
      </c>
      <c r="H372">
        <v>5</v>
      </c>
      <c r="I372">
        <v>55000</v>
      </c>
      <c r="J372">
        <v>0</v>
      </c>
      <c r="K372" t="s">
        <v>528</v>
      </c>
      <c r="L372">
        <v>26</v>
      </c>
      <c r="M372">
        <v>7</v>
      </c>
      <c r="N372">
        <v>7857</v>
      </c>
      <c r="O372">
        <v>26.04</v>
      </c>
      <c r="P372">
        <v>7</v>
      </c>
      <c r="Q372">
        <v>7857</v>
      </c>
      <c r="R372" t="s">
        <v>121</v>
      </c>
      <c r="S372" s="40">
        <v>46072</v>
      </c>
      <c r="T372">
        <v>37.562354999999997</v>
      </c>
      <c r="U372">
        <v>126.920091</v>
      </c>
      <c r="V372" t="s">
        <v>607</v>
      </c>
      <c r="W372" t="s">
        <v>608</v>
      </c>
      <c r="X372">
        <v>1</v>
      </c>
      <c r="Y372">
        <v>0</v>
      </c>
      <c r="Z372">
        <v>0</v>
      </c>
      <c r="AA372" t="s">
        <v>139</v>
      </c>
      <c r="AB372" t="s">
        <v>609</v>
      </c>
      <c r="AC372">
        <v>55000</v>
      </c>
      <c r="AD372">
        <v>0</v>
      </c>
      <c r="AE372" t="s">
        <v>101</v>
      </c>
      <c r="AF372" t="s">
        <v>165</v>
      </c>
      <c r="AG372" t="s">
        <v>166</v>
      </c>
      <c r="AH372">
        <v>625.70464692952532</v>
      </c>
      <c r="AI372" t="s">
        <v>47</v>
      </c>
      <c r="AJ372" t="s">
        <v>104</v>
      </c>
      <c r="AK372">
        <v>1340.5337714535356</v>
      </c>
      <c r="AL372" t="s">
        <v>105</v>
      </c>
      <c r="AM372" s="41" t="s">
        <v>610</v>
      </c>
    </row>
    <row r="373" spans="1:45" hidden="1">
      <c r="A373">
        <v>2607023250</v>
      </c>
      <c r="B373">
        <v>1144011400</v>
      </c>
      <c r="C373" t="s">
        <v>93</v>
      </c>
      <c r="D373" t="s">
        <v>0</v>
      </c>
      <c r="E373" t="s">
        <v>94</v>
      </c>
      <c r="F373" t="s">
        <v>135</v>
      </c>
      <c r="G373">
        <v>1</v>
      </c>
      <c r="H373">
        <v>2</v>
      </c>
      <c r="I373">
        <v>120000</v>
      </c>
      <c r="J373">
        <v>0</v>
      </c>
      <c r="K373" t="s">
        <v>238</v>
      </c>
      <c r="L373">
        <v>78</v>
      </c>
      <c r="M373">
        <v>23</v>
      </c>
      <c r="N373">
        <v>5217</v>
      </c>
      <c r="O373">
        <v>50.9</v>
      </c>
      <c r="P373">
        <v>15</v>
      </c>
      <c r="Q373">
        <v>8000</v>
      </c>
      <c r="R373" t="s">
        <v>145</v>
      </c>
      <c r="S373" s="40">
        <v>46058</v>
      </c>
      <c r="T373">
        <v>37.548369000000001</v>
      </c>
      <c r="U373">
        <v>126.92944799999999</v>
      </c>
      <c r="V373" t="s">
        <v>611</v>
      </c>
      <c r="W373" t="s">
        <v>603</v>
      </c>
      <c r="X373">
        <v>1</v>
      </c>
      <c r="Y373">
        <v>0</v>
      </c>
      <c r="Z373">
        <v>0</v>
      </c>
      <c r="AA373" t="s">
        <v>99</v>
      </c>
      <c r="AB373" t="s">
        <v>502</v>
      </c>
      <c r="AC373">
        <v>120000</v>
      </c>
      <c r="AD373">
        <v>0</v>
      </c>
      <c r="AE373" t="s">
        <v>101</v>
      </c>
      <c r="AF373" t="s">
        <v>481</v>
      </c>
      <c r="AG373" t="s">
        <v>103</v>
      </c>
      <c r="AH373">
        <v>353.10489569662644</v>
      </c>
      <c r="AI373" t="s">
        <v>47</v>
      </c>
      <c r="AJ373" t="s">
        <v>104</v>
      </c>
      <c r="AK373">
        <v>1239.2769741190828</v>
      </c>
      <c r="AL373" t="s">
        <v>105</v>
      </c>
      <c r="AM373" s="41" t="s">
        <v>482</v>
      </c>
    </row>
    <row r="374" spans="1:45">
      <c r="A374">
        <v>2608679999</v>
      </c>
      <c r="B374">
        <v>1144012000</v>
      </c>
      <c r="C374" t="s">
        <v>134</v>
      </c>
      <c r="D374" t="s">
        <v>0</v>
      </c>
      <c r="E374" t="s">
        <v>94</v>
      </c>
      <c r="F374" t="s">
        <v>244</v>
      </c>
      <c r="G374" t="s">
        <v>35</v>
      </c>
      <c r="H374">
        <v>2</v>
      </c>
      <c r="I374">
        <v>230000</v>
      </c>
      <c r="J374">
        <v>0</v>
      </c>
      <c r="K374" t="s">
        <v>385</v>
      </c>
      <c r="L374">
        <v>178</v>
      </c>
      <c r="M374">
        <v>53</v>
      </c>
      <c r="N374">
        <v>4339</v>
      </c>
      <c r="O374">
        <v>80.36</v>
      </c>
      <c r="P374">
        <v>24</v>
      </c>
      <c r="Q374">
        <v>9583</v>
      </c>
      <c r="R374" t="s">
        <v>96</v>
      </c>
      <c r="S374" s="40">
        <v>46066</v>
      </c>
      <c r="T374">
        <v>37.550941999999999</v>
      </c>
      <c r="U374">
        <v>126.913787</v>
      </c>
      <c r="V374" t="s">
        <v>386</v>
      </c>
      <c r="W374" t="s">
        <v>189</v>
      </c>
      <c r="X374">
        <v>1</v>
      </c>
      <c r="Y374">
        <v>0</v>
      </c>
      <c r="Z374">
        <v>0</v>
      </c>
      <c r="AA374" t="s">
        <v>247</v>
      </c>
      <c r="AB374" t="s">
        <v>248</v>
      </c>
      <c r="AC374">
        <v>230000</v>
      </c>
      <c r="AD374">
        <v>0</v>
      </c>
      <c r="AE374" t="s">
        <v>101</v>
      </c>
      <c r="AF374" t="s">
        <v>115</v>
      </c>
      <c r="AG374" t="s">
        <v>116</v>
      </c>
      <c r="AH374">
        <v>132.09524505029225</v>
      </c>
      <c r="AI374" t="s">
        <v>47</v>
      </c>
      <c r="AJ374" t="s">
        <v>104</v>
      </c>
      <c r="AK374">
        <v>528.49483569447079</v>
      </c>
      <c r="AL374">
        <v>1</v>
      </c>
      <c r="AM374" s="41" t="s">
        <v>178</v>
      </c>
      <c r="AN374">
        <f t="shared" ref="AN374:AN376" si="175">IFERROR(VALUE(LEFT($W374,FIND("년",$W374)-1)),"")</f>
        <v>15</v>
      </c>
      <c r="AO374" t="str">
        <f t="shared" ref="AO374:AO376" si="176">IFERROR(IF(FIND("년",$W374)=3,MID($W374,FIND("년",$W374)+1,FIND("년",$W374)-1),MID($W374,FIND("년",$W374)+1,FIND("년",$W374))),"")</f>
        <v>이내</v>
      </c>
      <c r="AP374">
        <f t="shared" ref="AP374:AP376" si="177">IFERROR(IF($AN374&lt;11,10,IF(AND($AN374&lt;26,$AO374="이내"),25,26)),"")</f>
        <v>25</v>
      </c>
      <c r="AQ374">
        <f t="shared" ref="AQ374:AQ376" si="178">IFERROR(IF($P374&lt;10,9,IF($P374&lt;20,10,IF($P374&lt;30,20,IF($P374&lt;40,30,40)))),"")</f>
        <v>20</v>
      </c>
      <c r="AR374" t="str">
        <f t="shared" ref="AR374:AR376" si="179">IFERROR(IF($D374="상가",IF($G374="1","1층",IF($G374="전체층","전체층",IF(LEFT($G374,1)="B","B1",IF($G374&lt;6,"저",IF($G374/$H374&lt;=$BC$9,"저",IF($G374/$H374&lt;=$BC$10,"중","고")))))),IF(LEFT($G374,1)="B","B1",IF($H374&lt;6,"저",IF($G374/$H374&lt;=$BC$2,"저",IF($G374/$H374&lt;=$BC$3,"중","고"))))),"")</f>
        <v>B1</v>
      </c>
      <c r="AS374">
        <f>IFERROR(ACOS(SIN(RADIANS(거래사례!$S$11))*SIN(RADIANS($T374))+COS(RADIANS(거래사례!$S$11))*COS(RADIANS($T374))*COS(RADIANS($U374-거래사례!$P$11)))*6371000,"")</f>
        <v>1675.8614531849782</v>
      </c>
    </row>
    <row r="375" spans="1:45">
      <c r="A375">
        <v>2609696748</v>
      </c>
      <c r="B375">
        <v>1144012000</v>
      </c>
      <c r="C375" t="s">
        <v>93</v>
      </c>
      <c r="D375" t="s">
        <v>0</v>
      </c>
      <c r="E375" t="s">
        <v>94</v>
      </c>
      <c r="F375" t="s">
        <v>95</v>
      </c>
      <c r="G375" t="s">
        <v>3</v>
      </c>
      <c r="H375">
        <v>5</v>
      </c>
      <c r="I375">
        <v>580000</v>
      </c>
      <c r="J375">
        <v>0</v>
      </c>
      <c r="K375" t="s">
        <v>619</v>
      </c>
      <c r="L375">
        <v>507</v>
      </c>
      <c r="M375">
        <v>153</v>
      </c>
      <c r="N375">
        <v>3790</v>
      </c>
      <c r="O375">
        <v>198.48</v>
      </c>
      <c r="P375">
        <v>60</v>
      </c>
      <c r="Q375">
        <v>9667</v>
      </c>
      <c r="R375" t="s">
        <v>161</v>
      </c>
      <c r="S375" s="40">
        <v>46073</v>
      </c>
      <c r="T375">
        <v>37.554572999999998</v>
      </c>
      <c r="U375">
        <v>126.92822700000001</v>
      </c>
      <c r="V375" t="s">
        <v>620</v>
      </c>
      <c r="W375" t="s">
        <v>621</v>
      </c>
      <c r="X375">
        <v>1</v>
      </c>
      <c r="Y375">
        <v>0</v>
      </c>
      <c r="Z375">
        <v>0</v>
      </c>
      <c r="AA375" t="s">
        <v>176</v>
      </c>
      <c r="AB375" t="s">
        <v>622</v>
      </c>
      <c r="AC375">
        <v>580000</v>
      </c>
      <c r="AD375">
        <v>0</v>
      </c>
      <c r="AE375" t="s">
        <v>101</v>
      </c>
      <c r="AF375" t="s">
        <v>165</v>
      </c>
      <c r="AG375" t="s">
        <v>166</v>
      </c>
      <c r="AH375">
        <v>568.68239667164335</v>
      </c>
      <c r="AI375" t="s">
        <v>47</v>
      </c>
      <c r="AJ375" t="s">
        <v>104</v>
      </c>
      <c r="AK375">
        <v>1176.9097974217877</v>
      </c>
      <c r="AL375" t="s">
        <v>105</v>
      </c>
      <c r="AM375" s="41" t="s">
        <v>623</v>
      </c>
      <c r="AN375">
        <f t="shared" si="175"/>
        <v>15</v>
      </c>
      <c r="AO375" t="str">
        <f t="shared" si="176"/>
        <v>이내</v>
      </c>
      <c r="AP375">
        <f t="shared" si="177"/>
        <v>25</v>
      </c>
      <c r="AQ375">
        <f t="shared" si="178"/>
        <v>40</v>
      </c>
      <c r="AR375" t="str">
        <f t="shared" si="179"/>
        <v>전체층</v>
      </c>
      <c r="AS375">
        <f>IFERROR(ACOS(SIN(RADIANS(거래사례!$S$11))*SIN(RADIANS($T375))+COS(RADIANS(거래사례!$S$11))*COS(RADIANS($T375))*COS(RADIANS($U375-거래사례!$P$11)))*6371000,"")</f>
        <v>587.20312919266621</v>
      </c>
    </row>
    <row r="376" spans="1:45">
      <c r="A376">
        <v>2609696748</v>
      </c>
      <c r="B376">
        <v>1144012000</v>
      </c>
      <c r="C376" t="s">
        <v>93</v>
      </c>
      <c r="D376" t="s">
        <v>0</v>
      </c>
      <c r="E376" t="s">
        <v>94</v>
      </c>
      <c r="F376" t="s">
        <v>95</v>
      </c>
      <c r="G376" t="s">
        <v>3</v>
      </c>
      <c r="H376">
        <v>5</v>
      </c>
      <c r="I376">
        <v>580000</v>
      </c>
      <c r="J376">
        <v>0</v>
      </c>
      <c r="K376" t="s">
        <v>619</v>
      </c>
      <c r="L376">
        <v>507</v>
      </c>
      <c r="M376">
        <v>153</v>
      </c>
      <c r="N376">
        <v>3790</v>
      </c>
      <c r="O376">
        <v>198.48</v>
      </c>
      <c r="P376">
        <v>60</v>
      </c>
      <c r="Q376">
        <v>9667</v>
      </c>
      <c r="R376" t="s">
        <v>161</v>
      </c>
      <c r="S376" s="40">
        <v>46073</v>
      </c>
      <c r="T376">
        <v>37.554572999999998</v>
      </c>
      <c r="U376">
        <v>126.92822700000001</v>
      </c>
      <c r="V376" t="s">
        <v>620</v>
      </c>
      <c r="W376" t="s">
        <v>621</v>
      </c>
      <c r="X376">
        <v>1</v>
      </c>
      <c r="Y376">
        <v>0</v>
      </c>
      <c r="Z376">
        <v>0</v>
      </c>
      <c r="AA376" t="s">
        <v>176</v>
      </c>
      <c r="AB376" t="s">
        <v>622</v>
      </c>
      <c r="AC376">
        <v>580000</v>
      </c>
      <c r="AD376">
        <v>0</v>
      </c>
      <c r="AE376" t="s">
        <v>101</v>
      </c>
      <c r="AF376" t="s">
        <v>165</v>
      </c>
      <c r="AG376" t="s">
        <v>166</v>
      </c>
      <c r="AH376">
        <v>568.68239667164335</v>
      </c>
      <c r="AI376" t="s">
        <v>47</v>
      </c>
      <c r="AJ376" t="s">
        <v>104</v>
      </c>
      <c r="AK376">
        <v>1176.9097974217877</v>
      </c>
      <c r="AL376" t="s">
        <v>105</v>
      </c>
      <c r="AM376" s="41" t="s">
        <v>623</v>
      </c>
      <c r="AN376">
        <f t="shared" si="175"/>
        <v>15</v>
      </c>
      <c r="AO376" t="str">
        <f t="shared" si="176"/>
        <v>이내</v>
      </c>
      <c r="AP376">
        <f t="shared" si="177"/>
        <v>25</v>
      </c>
      <c r="AQ376">
        <f t="shared" si="178"/>
        <v>40</v>
      </c>
      <c r="AR376" t="str">
        <f t="shared" si="179"/>
        <v>전체층</v>
      </c>
      <c r="AS376">
        <f>IFERROR(ACOS(SIN(RADIANS(거래사례!$S$11))*SIN(RADIANS($T376))+COS(RADIANS(거래사례!$S$11))*COS(RADIANS($T376))*COS(RADIANS($U376-거래사례!$P$11)))*6371000,"")</f>
        <v>587.20312919266621</v>
      </c>
    </row>
    <row r="377" spans="1:45" hidden="1">
      <c r="A377">
        <v>2607647428</v>
      </c>
      <c r="B377">
        <v>1144012000</v>
      </c>
      <c r="C377" t="s">
        <v>134</v>
      </c>
      <c r="D377" t="s">
        <v>0</v>
      </c>
      <c r="E377" t="s">
        <v>94</v>
      </c>
      <c r="F377" t="s">
        <v>108</v>
      </c>
      <c r="G377">
        <v>1</v>
      </c>
      <c r="H377">
        <v>24</v>
      </c>
      <c r="I377">
        <v>75000</v>
      </c>
      <c r="J377">
        <v>0</v>
      </c>
      <c r="K377" t="s">
        <v>381</v>
      </c>
      <c r="L377">
        <v>26</v>
      </c>
      <c r="M377">
        <v>7</v>
      </c>
      <c r="N377">
        <v>10714</v>
      </c>
      <c r="O377">
        <v>26.59</v>
      </c>
      <c r="P377">
        <v>8</v>
      </c>
      <c r="Q377">
        <v>9375</v>
      </c>
      <c r="R377" t="s">
        <v>110</v>
      </c>
      <c r="S377" s="40">
        <v>46062</v>
      </c>
      <c r="T377">
        <v>37.550803000000002</v>
      </c>
      <c r="U377">
        <v>126.91672199999999</v>
      </c>
      <c r="V377" t="s">
        <v>382</v>
      </c>
      <c r="W377" t="s">
        <v>350</v>
      </c>
      <c r="X377">
        <v>1</v>
      </c>
      <c r="Y377">
        <v>0</v>
      </c>
      <c r="Z377">
        <v>0</v>
      </c>
      <c r="AA377" t="s">
        <v>139</v>
      </c>
      <c r="AB377" t="s">
        <v>337</v>
      </c>
      <c r="AC377">
        <v>75000</v>
      </c>
      <c r="AD377">
        <v>0</v>
      </c>
      <c r="AE377" t="s">
        <v>101</v>
      </c>
      <c r="AF377" t="s">
        <v>115</v>
      </c>
      <c r="AG377" t="s">
        <v>116</v>
      </c>
      <c r="AH377">
        <v>244.27878031988089</v>
      </c>
      <c r="AI377" t="s">
        <v>47</v>
      </c>
      <c r="AJ377" t="s">
        <v>104</v>
      </c>
      <c r="AK377">
        <v>203.1206532669033</v>
      </c>
      <c r="AL377">
        <v>1</v>
      </c>
      <c r="AM377" s="41" t="s">
        <v>348</v>
      </c>
    </row>
    <row r="378" spans="1:45">
      <c r="A378">
        <v>2609696748</v>
      </c>
      <c r="B378">
        <v>1144012000</v>
      </c>
      <c r="C378" t="s">
        <v>93</v>
      </c>
      <c r="D378" t="s">
        <v>0</v>
      </c>
      <c r="E378" t="s">
        <v>94</v>
      </c>
      <c r="F378" t="s">
        <v>95</v>
      </c>
      <c r="G378" t="s">
        <v>3</v>
      </c>
      <c r="H378">
        <v>5</v>
      </c>
      <c r="I378">
        <v>580000</v>
      </c>
      <c r="J378">
        <v>0</v>
      </c>
      <c r="K378" t="s">
        <v>619</v>
      </c>
      <c r="L378">
        <v>507</v>
      </c>
      <c r="M378">
        <v>153</v>
      </c>
      <c r="N378">
        <v>3790</v>
      </c>
      <c r="O378">
        <v>198.48</v>
      </c>
      <c r="P378">
        <v>60</v>
      </c>
      <c r="Q378">
        <v>9667</v>
      </c>
      <c r="R378" t="s">
        <v>161</v>
      </c>
      <c r="S378" s="40">
        <v>46073</v>
      </c>
      <c r="T378">
        <v>37.554572999999998</v>
      </c>
      <c r="U378">
        <v>126.92822700000001</v>
      </c>
      <c r="V378" t="s">
        <v>620</v>
      </c>
      <c r="W378" t="s">
        <v>621</v>
      </c>
      <c r="X378">
        <v>1</v>
      </c>
      <c r="Y378">
        <v>0</v>
      </c>
      <c r="Z378">
        <v>0</v>
      </c>
      <c r="AA378" t="s">
        <v>176</v>
      </c>
      <c r="AB378" t="s">
        <v>622</v>
      </c>
      <c r="AC378">
        <v>580000</v>
      </c>
      <c r="AD378">
        <v>0</v>
      </c>
      <c r="AE378" t="s">
        <v>101</v>
      </c>
      <c r="AF378" t="s">
        <v>165</v>
      </c>
      <c r="AG378" t="s">
        <v>166</v>
      </c>
      <c r="AH378">
        <v>568.68239667164335</v>
      </c>
      <c r="AI378" t="s">
        <v>47</v>
      </c>
      <c r="AJ378" t="s">
        <v>104</v>
      </c>
      <c r="AK378">
        <v>1176.9097974217877</v>
      </c>
      <c r="AL378" t="s">
        <v>105</v>
      </c>
      <c r="AM378" s="41" t="s">
        <v>623</v>
      </c>
      <c r="AN378">
        <f t="shared" ref="AN378:AN381" si="180">IFERROR(VALUE(LEFT($W378,FIND("년",$W378)-1)),"")</f>
        <v>15</v>
      </c>
      <c r="AO378" t="str">
        <f t="shared" ref="AO378:AO381" si="181">IFERROR(IF(FIND("년",$W378)=3,MID($W378,FIND("년",$W378)+1,FIND("년",$W378)-1),MID($W378,FIND("년",$W378)+1,FIND("년",$W378))),"")</f>
        <v>이내</v>
      </c>
      <c r="AP378">
        <f t="shared" ref="AP378:AP381" si="182">IFERROR(IF($AN378&lt;11,10,IF(AND($AN378&lt;26,$AO378="이내"),25,26)),"")</f>
        <v>25</v>
      </c>
      <c r="AQ378">
        <f t="shared" ref="AQ378:AQ381" si="183">IFERROR(IF($P378&lt;10,9,IF($P378&lt;20,10,IF($P378&lt;30,20,IF($P378&lt;40,30,40)))),"")</f>
        <v>40</v>
      </c>
      <c r="AR378" t="str">
        <f t="shared" ref="AR378:AR381" si="184">IFERROR(IF($D378="상가",IF($G378="1","1층",IF($G378="전체층","전체층",IF(LEFT($G378,1)="B","B1",IF($G378&lt;6,"저",IF($G378/$H378&lt;=$BC$9,"저",IF($G378/$H378&lt;=$BC$10,"중","고")))))),IF(LEFT($G378,1)="B","B1",IF($H378&lt;6,"저",IF($G378/$H378&lt;=$BC$2,"저",IF($G378/$H378&lt;=$BC$3,"중","고"))))),"")</f>
        <v>전체층</v>
      </c>
      <c r="AS378">
        <f>IFERROR(ACOS(SIN(RADIANS(거래사례!$S$11))*SIN(RADIANS($T378))+COS(RADIANS(거래사례!$S$11))*COS(RADIANS($T378))*COS(RADIANS($U378-거래사례!$P$11)))*6371000,"")</f>
        <v>587.20312919266621</v>
      </c>
    </row>
    <row r="379" spans="1:45">
      <c r="A379">
        <v>2610315850</v>
      </c>
      <c r="B379">
        <v>1144012000</v>
      </c>
      <c r="C379" t="s">
        <v>211</v>
      </c>
      <c r="D379" t="s">
        <v>0</v>
      </c>
      <c r="E379" t="s">
        <v>94</v>
      </c>
      <c r="F379" t="s">
        <v>108</v>
      </c>
      <c r="G379">
        <v>2</v>
      </c>
      <c r="H379">
        <v>24</v>
      </c>
      <c r="I379">
        <v>200000</v>
      </c>
      <c r="J379">
        <v>0</v>
      </c>
      <c r="K379" t="s">
        <v>349</v>
      </c>
      <c r="L379">
        <v>138</v>
      </c>
      <c r="M379">
        <v>41</v>
      </c>
      <c r="N379">
        <v>4878</v>
      </c>
      <c r="O379">
        <v>66.56</v>
      </c>
      <c r="P379">
        <v>20</v>
      </c>
      <c r="Q379">
        <v>10000</v>
      </c>
      <c r="R379" t="s">
        <v>121</v>
      </c>
      <c r="S379" s="40">
        <v>46077</v>
      </c>
      <c r="T379">
        <v>37.550803000000002</v>
      </c>
      <c r="U379">
        <v>126.91672199999999</v>
      </c>
      <c r="V379" t="s">
        <v>387</v>
      </c>
      <c r="W379" t="s">
        <v>388</v>
      </c>
      <c r="X379">
        <v>1</v>
      </c>
      <c r="Y379">
        <v>0</v>
      </c>
      <c r="Z379">
        <v>0</v>
      </c>
      <c r="AA379" t="s">
        <v>99</v>
      </c>
      <c r="AB379" t="s">
        <v>389</v>
      </c>
      <c r="AC379">
        <v>200000</v>
      </c>
      <c r="AD379">
        <v>0</v>
      </c>
      <c r="AE379" t="s">
        <v>101</v>
      </c>
      <c r="AF379" t="s">
        <v>115</v>
      </c>
      <c r="AG379" t="s">
        <v>116</v>
      </c>
      <c r="AH379">
        <v>244.27878031988089</v>
      </c>
      <c r="AI379" t="s">
        <v>47</v>
      </c>
      <c r="AJ379" t="s">
        <v>104</v>
      </c>
      <c r="AK379">
        <v>203.1206532669033</v>
      </c>
      <c r="AL379">
        <v>1</v>
      </c>
      <c r="AM379" s="41" t="s">
        <v>348</v>
      </c>
      <c r="AN379">
        <f t="shared" si="180"/>
        <v>10</v>
      </c>
      <c r="AO379" t="str">
        <f t="shared" si="181"/>
        <v>이내</v>
      </c>
      <c r="AP379">
        <f t="shared" si="182"/>
        <v>10</v>
      </c>
      <c r="AQ379">
        <f t="shared" si="183"/>
        <v>20</v>
      </c>
      <c r="AR379" t="str">
        <f t="shared" si="184"/>
        <v>저</v>
      </c>
      <c r="AS379">
        <f>IFERROR(ACOS(SIN(RADIANS(거래사례!$S$11))*SIN(RADIANS($T379))+COS(RADIANS(거래사례!$S$11))*COS(RADIANS($T379))*COS(RADIANS($U379-거래사례!$P$11)))*6371000,"")</f>
        <v>1484.7879209022308</v>
      </c>
    </row>
    <row r="380" spans="1:45">
      <c r="A380">
        <v>2610315850</v>
      </c>
      <c r="B380">
        <v>1144012000</v>
      </c>
      <c r="C380" t="s">
        <v>211</v>
      </c>
      <c r="D380" t="s">
        <v>0</v>
      </c>
      <c r="E380" t="s">
        <v>94</v>
      </c>
      <c r="F380" t="s">
        <v>108</v>
      </c>
      <c r="G380">
        <v>2</v>
      </c>
      <c r="H380">
        <v>24</v>
      </c>
      <c r="I380">
        <v>200000</v>
      </c>
      <c r="J380">
        <v>0</v>
      </c>
      <c r="K380" t="s">
        <v>349</v>
      </c>
      <c r="L380">
        <v>138</v>
      </c>
      <c r="M380">
        <v>41</v>
      </c>
      <c r="N380">
        <v>4878</v>
      </c>
      <c r="O380">
        <v>66.56</v>
      </c>
      <c r="P380">
        <v>20</v>
      </c>
      <c r="Q380">
        <v>10000</v>
      </c>
      <c r="R380" t="s">
        <v>121</v>
      </c>
      <c r="S380" s="40">
        <v>46077</v>
      </c>
      <c r="T380">
        <v>37.550803000000002</v>
      </c>
      <c r="U380">
        <v>126.91672199999999</v>
      </c>
      <c r="V380" t="s">
        <v>387</v>
      </c>
      <c r="W380" t="s">
        <v>388</v>
      </c>
      <c r="X380">
        <v>1</v>
      </c>
      <c r="Y380">
        <v>0</v>
      </c>
      <c r="Z380">
        <v>0</v>
      </c>
      <c r="AA380" t="s">
        <v>99</v>
      </c>
      <c r="AB380" t="s">
        <v>389</v>
      </c>
      <c r="AC380">
        <v>200000</v>
      </c>
      <c r="AD380">
        <v>0</v>
      </c>
      <c r="AE380" t="s">
        <v>101</v>
      </c>
      <c r="AF380" t="s">
        <v>115</v>
      </c>
      <c r="AG380" t="s">
        <v>116</v>
      </c>
      <c r="AH380">
        <v>244.27878031988089</v>
      </c>
      <c r="AI380" t="s">
        <v>47</v>
      </c>
      <c r="AJ380" t="s">
        <v>104</v>
      </c>
      <c r="AK380">
        <v>203.1206532669033</v>
      </c>
      <c r="AL380">
        <v>1</v>
      </c>
      <c r="AM380" s="41" t="s">
        <v>348</v>
      </c>
      <c r="AN380">
        <f t="shared" si="180"/>
        <v>10</v>
      </c>
      <c r="AO380" t="str">
        <f t="shared" si="181"/>
        <v>이내</v>
      </c>
      <c r="AP380">
        <f t="shared" si="182"/>
        <v>10</v>
      </c>
      <c r="AQ380">
        <f t="shared" si="183"/>
        <v>20</v>
      </c>
      <c r="AR380" t="str">
        <f t="shared" si="184"/>
        <v>저</v>
      </c>
      <c r="AS380">
        <f>IFERROR(ACOS(SIN(RADIANS(거래사례!$S$11))*SIN(RADIANS($T380))+COS(RADIANS(거래사례!$S$11))*COS(RADIANS($T380))*COS(RADIANS($U380-거래사례!$P$11)))*6371000,"")</f>
        <v>1484.7879209022308</v>
      </c>
    </row>
    <row r="381" spans="1:45">
      <c r="A381">
        <v>2611602495</v>
      </c>
      <c r="B381">
        <v>1144011100</v>
      </c>
      <c r="C381" t="s">
        <v>93</v>
      </c>
      <c r="D381" t="s">
        <v>0</v>
      </c>
      <c r="E381" t="s">
        <v>94</v>
      </c>
      <c r="F381" t="s">
        <v>95</v>
      </c>
      <c r="G381">
        <v>1</v>
      </c>
      <c r="H381">
        <v>1</v>
      </c>
      <c r="I381">
        <v>290000</v>
      </c>
      <c r="J381">
        <v>0</v>
      </c>
      <c r="K381" t="s">
        <v>624</v>
      </c>
      <c r="L381">
        <v>98</v>
      </c>
      <c r="M381">
        <v>29</v>
      </c>
      <c r="N381">
        <v>10000</v>
      </c>
      <c r="O381">
        <v>98.2</v>
      </c>
      <c r="P381">
        <v>29</v>
      </c>
      <c r="Q381">
        <v>10000</v>
      </c>
      <c r="R381" t="s">
        <v>110</v>
      </c>
      <c r="S381" s="40">
        <v>46084</v>
      </c>
      <c r="T381">
        <v>37.549353000000004</v>
      </c>
      <c r="U381">
        <v>126.938041</v>
      </c>
      <c r="V381" t="s">
        <v>625</v>
      </c>
      <c r="W381" t="s">
        <v>626</v>
      </c>
      <c r="X381">
        <v>1</v>
      </c>
      <c r="Y381">
        <v>0</v>
      </c>
      <c r="Z381">
        <v>0</v>
      </c>
      <c r="AA381" t="s">
        <v>627</v>
      </c>
      <c r="AB381" t="s">
        <v>628</v>
      </c>
      <c r="AC381">
        <v>290000</v>
      </c>
      <c r="AD381">
        <v>0</v>
      </c>
      <c r="AE381" t="s">
        <v>101</v>
      </c>
      <c r="AF381" t="s">
        <v>475</v>
      </c>
      <c r="AG381" t="s">
        <v>476</v>
      </c>
      <c r="AH381">
        <v>443.13698977170952</v>
      </c>
      <c r="AI381" t="s">
        <v>48</v>
      </c>
      <c r="AJ381" t="s">
        <v>104</v>
      </c>
      <c r="AK381">
        <v>1125.0954295038273</v>
      </c>
      <c r="AL381" t="s">
        <v>105</v>
      </c>
      <c r="AM381" s="41" t="s">
        <v>629</v>
      </c>
      <c r="AN381">
        <f t="shared" si="180"/>
        <v>25</v>
      </c>
      <c r="AO381" t="str">
        <f t="shared" si="181"/>
        <v>이상</v>
      </c>
      <c r="AP381">
        <f t="shared" si="182"/>
        <v>26</v>
      </c>
      <c r="AQ381">
        <f t="shared" si="183"/>
        <v>20</v>
      </c>
      <c r="AR381" t="str">
        <f t="shared" si="184"/>
        <v>저</v>
      </c>
      <c r="AS381">
        <f>IFERROR(ACOS(SIN(RADIANS(거래사례!$S$11))*SIN(RADIANS($T381))+COS(RADIANS(거래사례!$S$11))*COS(RADIANS($T381))*COS(RADIANS($U381-거래사례!$P$11)))*6371000,"")</f>
        <v>1400.5760457422507</v>
      </c>
    </row>
    <row r="382" spans="1:45" hidden="1">
      <c r="A382">
        <v>2606513484</v>
      </c>
      <c r="B382">
        <v>1144012000</v>
      </c>
      <c r="C382" t="s">
        <v>93</v>
      </c>
      <c r="D382" t="s">
        <v>0</v>
      </c>
      <c r="E382" t="s">
        <v>94</v>
      </c>
      <c r="F382" t="s">
        <v>135</v>
      </c>
      <c r="G382">
        <v>1</v>
      </c>
      <c r="H382">
        <v>6</v>
      </c>
      <c r="I382">
        <v>35000</v>
      </c>
      <c r="J382">
        <v>0</v>
      </c>
      <c r="K382" t="s">
        <v>420</v>
      </c>
      <c r="L382">
        <v>28</v>
      </c>
      <c r="M382">
        <v>8</v>
      </c>
      <c r="N382">
        <v>4375</v>
      </c>
      <c r="O382">
        <v>10.7</v>
      </c>
      <c r="P382">
        <v>3</v>
      </c>
      <c r="Q382">
        <v>11667</v>
      </c>
      <c r="R382" t="s">
        <v>110</v>
      </c>
      <c r="S382" s="40">
        <v>46056</v>
      </c>
      <c r="T382">
        <v>37.553488000000002</v>
      </c>
      <c r="U382">
        <v>126.92430400000001</v>
      </c>
      <c r="V382" t="s">
        <v>560</v>
      </c>
      <c r="W382" t="s">
        <v>561</v>
      </c>
      <c r="X382">
        <v>1</v>
      </c>
      <c r="Y382">
        <v>0</v>
      </c>
      <c r="Z382">
        <v>0</v>
      </c>
      <c r="AA382" t="s">
        <v>99</v>
      </c>
      <c r="AB382" t="s">
        <v>562</v>
      </c>
      <c r="AC382">
        <v>35000</v>
      </c>
      <c r="AD382">
        <v>0</v>
      </c>
      <c r="AE382" t="s">
        <v>101</v>
      </c>
      <c r="AF382" t="s">
        <v>165</v>
      </c>
      <c r="AG382" t="s">
        <v>166</v>
      </c>
      <c r="AH382">
        <v>385.18638332688346</v>
      </c>
      <c r="AI382" t="s">
        <v>47</v>
      </c>
      <c r="AJ382" t="s">
        <v>104</v>
      </c>
      <c r="AK382">
        <v>730.39400802924092</v>
      </c>
      <c r="AL382" t="s">
        <v>105</v>
      </c>
      <c r="AM382" s="41" t="s">
        <v>563</v>
      </c>
    </row>
    <row r="383" spans="1:45" hidden="1">
      <c r="A383">
        <v>2606513293</v>
      </c>
      <c r="B383">
        <v>1144012000</v>
      </c>
      <c r="C383" t="s">
        <v>93</v>
      </c>
      <c r="D383" t="s">
        <v>0</v>
      </c>
      <c r="E383" t="s">
        <v>94</v>
      </c>
      <c r="F383" t="s">
        <v>135</v>
      </c>
      <c r="G383">
        <v>1</v>
      </c>
      <c r="H383">
        <v>6</v>
      </c>
      <c r="I383">
        <v>35000</v>
      </c>
      <c r="J383">
        <v>0</v>
      </c>
      <c r="K383" t="s">
        <v>420</v>
      </c>
      <c r="L383">
        <v>28</v>
      </c>
      <c r="M383">
        <v>8</v>
      </c>
      <c r="N383">
        <v>4375</v>
      </c>
      <c r="O383">
        <v>10.7</v>
      </c>
      <c r="P383">
        <v>3</v>
      </c>
      <c r="Q383">
        <v>11667</v>
      </c>
      <c r="R383" t="s">
        <v>110</v>
      </c>
      <c r="S383" s="40">
        <v>46056</v>
      </c>
      <c r="T383">
        <v>37.553348999999997</v>
      </c>
      <c r="U383">
        <v>126.924397</v>
      </c>
      <c r="V383" t="s">
        <v>560</v>
      </c>
      <c r="W383" t="s">
        <v>561</v>
      </c>
      <c r="X383">
        <v>1</v>
      </c>
      <c r="Y383">
        <v>0</v>
      </c>
      <c r="Z383">
        <v>0</v>
      </c>
      <c r="AA383" t="s">
        <v>99</v>
      </c>
      <c r="AB383" t="s">
        <v>562</v>
      </c>
      <c r="AC383">
        <v>35000</v>
      </c>
      <c r="AD383">
        <v>0</v>
      </c>
      <c r="AE383" t="s">
        <v>101</v>
      </c>
      <c r="AF383" t="s">
        <v>165</v>
      </c>
      <c r="AG383" t="s">
        <v>166</v>
      </c>
      <c r="AH383">
        <v>402.35281783877383</v>
      </c>
      <c r="AI383" t="s">
        <v>47</v>
      </c>
      <c r="AJ383" t="s">
        <v>104</v>
      </c>
      <c r="AK383">
        <v>732.53643904711817</v>
      </c>
      <c r="AL383" t="s">
        <v>105</v>
      </c>
      <c r="AM383" s="41" t="s">
        <v>563</v>
      </c>
    </row>
    <row r="384" spans="1:45" hidden="1">
      <c r="A384">
        <v>2611727179</v>
      </c>
      <c r="B384">
        <v>1144012000</v>
      </c>
      <c r="C384" t="s">
        <v>211</v>
      </c>
      <c r="D384" t="s">
        <v>0</v>
      </c>
      <c r="E384" t="s">
        <v>94</v>
      </c>
      <c r="F384" t="s">
        <v>95</v>
      </c>
      <c r="G384">
        <v>1</v>
      </c>
      <c r="H384">
        <v>24</v>
      </c>
      <c r="I384">
        <v>198000</v>
      </c>
      <c r="J384">
        <v>0</v>
      </c>
      <c r="K384" t="s">
        <v>399</v>
      </c>
      <c r="L384">
        <v>96</v>
      </c>
      <c r="M384">
        <v>29</v>
      </c>
      <c r="N384">
        <v>6827</v>
      </c>
      <c r="O384">
        <v>53.25</v>
      </c>
      <c r="P384">
        <v>16</v>
      </c>
      <c r="Q384">
        <v>12375</v>
      </c>
      <c r="R384" t="s">
        <v>96</v>
      </c>
      <c r="S384" s="40">
        <v>46084</v>
      </c>
      <c r="T384">
        <v>37.550803000000002</v>
      </c>
      <c r="U384">
        <v>126.91672199999999</v>
      </c>
      <c r="V384" t="s">
        <v>400</v>
      </c>
      <c r="W384" t="s">
        <v>401</v>
      </c>
      <c r="X384">
        <v>1</v>
      </c>
      <c r="Y384">
        <v>0</v>
      </c>
      <c r="Z384">
        <v>0</v>
      </c>
      <c r="AA384" t="s">
        <v>139</v>
      </c>
      <c r="AB384" t="s">
        <v>402</v>
      </c>
      <c r="AC384">
        <v>198000</v>
      </c>
      <c r="AD384">
        <v>0</v>
      </c>
      <c r="AE384" t="s">
        <v>101</v>
      </c>
      <c r="AF384" t="s">
        <v>115</v>
      </c>
      <c r="AG384" t="s">
        <v>116</v>
      </c>
      <c r="AH384">
        <v>244.27878031988089</v>
      </c>
      <c r="AI384" t="s">
        <v>47</v>
      </c>
      <c r="AJ384" t="s">
        <v>104</v>
      </c>
      <c r="AK384">
        <v>203.1206532669033</v>
      </c>
      <c r="AL384">
        <v>1</v>
      </c>
      <c r="AM384" s="41" t="s">
        <v>348</v>
      </c>
    </row>
    <row r="385" spans="1:56">
      <c r="A385">
        <v>2610315850</v>
      </c>
      <c r="B385">
        <v>1144012000</v>
      </c>
      <c r="C385" t="s">
        <v>211</v>
      </c>
      <c r="D385" t="s">
        <v>0</v>
      </c>
      <c r="E385" t="s">
        <v>94</v>
      </c>
      <c r="F385" t="s">
        <v>108</v>
      </c>
      <c r="G385">
        <v>2</v>
      </c>
      <c r="H385">
        <v>24</v>
      </c>
      <c r="I385">
        <v>200000</v>
      </c>
      <c r="J385">
        <v>0</v>
      </c>
      <c r="K385" t="s">
        <v>349</v>
      </c>
      <c r="L385">
        <v>138</v>
      </c>
      <c r="M385">
        <v>41</v>
      </c>
      <c r="N385">
        <v>4878</v>
      </c>
      <c r="O385">
        <v>66.56</v>
      </c>
      <c r="P385">
        <v>20</v>
      </c>
      <c r="Q385">
        <v>10000</v>
      </c>
      <c r="R385" t="s">
        <v>121</v>
      </c>
      <c r="S385" s="40">
        <v>46077</v>
      </c>
      <c r="T385">
        <v>37.550803000000002</v>
      </c>
      <c r="U385">
        <v>126.91672199999999</v>
      </c>
      <c r="V385" t="s">
        <v>387</v>
      </c>
      <c r="W385" t="s">
        <v>388</v>
      </c>
      <c r="X385">
        <v>1</v>
      </c>
      <c r="Y385">
        <v>0</v>
      </c>
      <c r="Z385">
        <v>0</v>
      </c>
      <c r="AA385" t="s">
        <v>99</v>
      </c>
      <c r="AB385" t="s">
        <v>389</v>
      </c>
      <c r="AC385">
        <v>200000</v>
      </c>
      <c r="AD385">
        <v>0</v>
      </c>
      <c r="AE385" t="s">
        <v>101</v>
      </c>
      <c r="AF385" t="s">
        <v>115</v>
      </c>
      <c r="AG385" t="s">
        <v>116</v>
      </c>
      <c r="AH385">
        <v>244.27878031988089</v>
      </c>
      <c r="AI385" t="s">
        <v>47</v>
      </c>
      <c r="AJ385" t="s">
        <v>104</v>
      </c>
      <c r="AK385">
        <v>203.1206532669033</v>
      </c>
      <c r="AL385">
        <v>1</v>
      </c>
      <c r="AM385" s="41" t="s">
        <v>348</v>
      </c>
      <c r="AN385">
        <f t="shared" ref="AN385:AN387" si="185">IFERROR(VALUE(LEFT($W385,FIND("년",$W385)-1)),"")</f>
        <v>10</v>
      </c>
      <c r="AO385" t="str">
        <f t="shared" ref="AO385:AO387" si="186">IFERROR(IF(FIND("년",$W385)=3,MID($W385,FIND("년",$W385)+1,FIND("년",$W385)-1),MID($W385,FIND("년",$W385)+1,FIND("년",$W385))),"")</f>
        <v>이내</v>
      </c>
      <c r="AP385">
        <f t="shared" ref="AP385:AP387" si="187">IFERROR(IF($AN385&lt;11,10,IF(AND($AN385&lt;26,$AO385="이내"),25,26)),"")</f>
        <v>10</v>
      </c>
      <c r="AQ385">
        <f t="shared" ref="AQ385:AQ387" si="188">IFERROR(IF($P385&lt;10,9,IF($P385&lt;20,10,IF($P385&lt;30,20,IF($P385&lt;40,30,40)))),"")</f>
        <v>20</v>
      </c>
      <c r="AR385" t="str">
        <f t="shared" ref="AR385:AR387" si="189">IFERROR(IF($D385="상가",IF($G385="1","1층",IF($G385="전체층","전체층",IF(LEFT($G385,1)="B","B1",IF($G385&lt;6,"저",IF($G385/$H385&lt;=$BC$9,"저",IF($G385/$H385&lt;=$BC$10,"중","고")))))),IF(LEFT($G385,1)="B","B1",IF($H385&lt;6,"저",IF($G385/$H385&lt;=$BC$2,"저",IF($G385/$H385&lt;=$BC$3,"중","고"))))),"")</f>
        <v>저</v>
      </c>
      <c r="AS385">
        <f>IFERROR(ACOS(SIN(RADIANS(거래사례!$S$11))*SIN(RADIANS($T385))+COS(RADIANS(거래사례!$S$11))*COS(RADIANS($T385))*COS(RADIANS($U385-거래사례!$P$11)))*6371000,"")</f>
        <v>1484.7879209022308</v>
      </c>
    </row>
    <row r="386" spans="1:56">
      <c r="A386">
        <v>2611602495</v>
      </c>
      <c r="B386">
        <v>1144011100</v>
      </c>
      <c r="C386" t="s">
        <v>93</v>
      </c>
      <c r="D386" t="s">
        <v>0</v>
      </c>
      <c r="E386" t="s">
        <v>94</v>
      </c>
      <c r="F386" t="s">
        <v>95</v>
      </c>
      <c r="G386">
        <v>1</v>
      </c>
      <c r="H386">
        <v>1</v>
      </c>
      <c r="I386">
        <v>290000</v>
      </c>
      <c r="J386">
        <v>0</v>
      </c>
      <c r="K386" t="s">
        <v>624</v>
      </c>
      <c r="L386">
        <v>98</v>
      </c>
      <c r="M386">
        <v>29</v>
      </c>
      <c r="N386">
        <v>10000</v>
      </c>
      <c r="O386">
        <v>98.2</v>
      </c>
      <c r="P386">
        <v>29</v>
      </c>
      <c r="Q386">
        <v>10000</v>
      </c>
      <c r="R386" t="s">
        <v>110</v>
      </c>
      <c r="S386" s="40">
        <v>46084</v>
      </c>
      <c r="T386">
        <v>37.549353000000004</v>
      </c>
      <c r="U386">
        <v>126.938041</v>
      </c>
      <c r="V386" t="s">
        <v>625</v>
      </c>
      <c r="W386" t="s">
        <v>626</v>
      </c>
      <c r="X386">
        <v>1</v>
      </c>
      <c r="Y386">
        <v>0</v>
      </c>
      <c r="Z386">
        <v>0</v>
      </c>
      <c r="AA386" t="s">
        <v>627</v>
      </c>
      <c r="AB386" t="s">
        <v>628</v>
      </c>
      <c r="AC386">
        <v>290000</v>
      </c>
      <c r="AD386">
        <v>0</v>
      </c>
      <c r="AE386" t="s">
        <v>101</v>
      </c>
      <c r="AF386" t="s">
        <v>475</v>
      </c>
      <c r="AG386" t="s">
        <v>476</v>
      </c>
      <c r="AH386">
        <v>443.13698977170952</v>
      </c>
      <c r="AI386" t="s">
        <v>48</v>
      </c>
      <c r="AJ386" t="s">
        <v>104</v>
      </c>
      <c r="AK386">
        <v>1125.0954295038273</v>
      </c>
      <c r="AL386" t="s">
        <v>105</v>
      </c>
      <c r="AM386" s="41" t="s">
        <v>629</v>
      </c>
      <c r="AN386">
        <f t="shared" si="185"/>
        <v>25</v>
      </c>
      <c r="AO386" t="str">
        <f t="shared" si="186"/>
        <v>이상</v>
      </c>
      <c r="AP386">
        <f t="shared" si="187"/>
        <v>26</v>
      </c>
      <c r="AQ386">
        <f t="shared" si="188"/>
        <v>20</v>
      </c>
      <c r="AR386" t="str">
        <f t="shared" si="189"/>
        <v>저</v>
      </c>
      <c r="AS386">
        <f>IFERROR(ACOS(SIN(RADIANS(거래사례!$S$11))*SIN(RADIANS($T386))+COS(RADIANS(거래사례!$S$11))*COS(RADIANS($T386))*COS(RADIANS($U386-거래사례!$P$11)))*6371000,"")</f>
        <v>1400.5760457422507</v>
      </c>
    </row>
    <row r="387" spans="1:56">
      <c r="A387">
        <v>2610315850</v>
      </c>
      <c r="B387">
        <v>1144012000</v>
      </c>
      <c r="C387" t="s">
        <v>211</v>
      </c>
      <c r="D387" t="s">
        <v>0</v>
      </c>
      <c r="E387" t="s">
        <v>94</v>
      </c>
      <c r="F387" t="s">
        <v>108</v>
      </c>
      <c r="G387">
        <v>2</v>
      </c>
      <c r="H387">
        <v>24</v>
      </c>
      <c r="I387">
        <v>200000</v>
      </c>
      <c r="J387">
        <v>0</v>
      </c>
      <c r="K387" t="s">
        <v>349</v>
      </c>
      <c r="L387">
        <v>138</v>
      </c>
      <c r="M387">
        <v>41</v>
      </c>
      <c r="N387">
        <v>4878</v>
      </c>
      <c r="O387">
        <v>66.56</v>
      </c>
      <c r="P387">
        <v>20</v>
      </c>
      <c r="Q387">
        <v>10000</v>
      </c>
      <c r="R387" t="s">
        <v>121</v>
      </c>
      <c r="S387" s="40">
        <v>46077</v>
      </c>
      <c r="T387">
        <v>37.550803000000002</v>
      </c>
      <c r="U387">
        <v>126.91672199999999</v>
      </c>
      <c r="V387" t="s">
        <v>387</v>
      </c>
      <c r="W387" t="s">
        <v>388</v>
      </c>
      <c r="X387">
        <v>1</v>
      </c>
      <c r="Y387">
        <v>0</v>
      </c>
      <c r="Z387">
        <v>0</v>
      </c>
      <c r="AA387" t="s">
        <v>99</v>
      </c>
      <c r="AB387" t="s">
        <v>389</v>
      </c>
      <c r="AC387">
        <v>200000</v>
      </c>
      <c r="AD387">
        <v>0</v>
      </c>
      <c r="AE387" t="s">
        <v>101</v>
      </c>
      <c r="AF387" t="s">
        <v>115</v>
      </c>
      <c r="AG387" t="s">
        <v>116</v>
      </c>
      <c r="AH387">
        <v>244.27878031988089</v>
      </c>
      <c r="AI387" t="s">
        <v>47</v>
      </c>
      <c r="AJ387" t="s">
        <v>104</v>
      </c>
      <c r="AK387">
        <v>203.1206532669033</v>
      </c>
      <c r="AL387">
        <v>1</v>
      </c>
      <c r="AM387" s="41" t="s">
        <v>348</v>
      </c>
      <c r="AN387">
        <f t="shared" si="185"/>
        <v>10</v>
      </c>
      <c r="AO387" t="str">
        <f t="shared" si="186"/>
        <v>이내</v>
      </c>
      <c r="AP387">
        <f t="shared" si="187"/>
        <v>10</v>
      </c>
      <c r="AQ387">
        <f t="shared" si="188"/>
        <v>20</v>
      </c>
      <c r="AR387" t="str">
        <f t="shared" si="189"/>
        <v>저</v>
      </c>
      <c r="AS387">
        <f>IFERROR(ACOS(SIN(RADIANS(거래사례!$S$11))*SIN(RADIANS($T387))+COS(RADIANS(거래사례!$S$11))*COS(RADIANS($T387))*COS(RADIANS($U387-거래사례!$P$11)))*6371000,"")</f>
        <v>1484.7879209022308</v>
      </c>
    </row>
    <row r="388" spans="1:56" hidden="1">
      <c r="A388">
        <v>2611178271</v>
      </c>
      <c r="B388">
        <v>1144012000</v>
      </c>
      <c r="C388" t="s">
        <v>134</v>
      </c>
      <c r="D388" t="s">
        <v>0</v>
      </c>
      <c r="E388" t="s">
        <v>94</v>
      </c>
      <c r="F388" t="s">
        <v>108</v>
      </c>
      <c r="G388">
        <v>1</v>
      </c>
      <c r="H388">
        <v>24</v>
      </c>
      <c r="I388">
        <v>220000</v>
      </c>
      <c r="J388">
        <v>0</v>
      </c>
      <c r="K388" t="s">
        <v>406</v>
      </c>
      <c r="L388">
        <v>55</v>
      </c>
      <c r="M388">
        <v>16</v>
      </c>
      <c r="N388">
        <v>13750</v>
      </c>
      <c r="O388">
        <v>55.74</v>
      </c>
      <c r="P388">
        <v>16</v>
      </c>
      <c r="Q388">
        <v>13750</v>
      </c>
      <c r="R388" t="s">
        <v>121</v>
      </c>
      <c r="S388" s="40">
        <v>46081</v>
      </c>
      <c r="T388">
        <v>37.550803000000002</v>
      </c>
      <c r="U388">
        <v>126.91672199999999</v>
      </c>
      <c r="V388" t="s">
        <v>407</v>
      </c>
      <c r="W388" t="s">
        <v>408</v>
      </c>
      <c r="X388">
        <v>1</v>
      </c>
      <c r="Y388">
        <v>0</v>
      </c>
      <c r="Z388">
        <v>0</v>
      </c>
      <c r="AA388" t="s">
        <v>139</v>
      </c>
      <c r="AB388" t="s">
        <v>337</v>
      </c>
      <c r="AC388">
        <v>220000</v>
      </c>
      <c r="AD388">
        <v>0</v>
      </c>
      <c r="AE388" t="s">
        <v>101</v>
      </c>
      <c r="AF388" t="s">
        <v>115</v>
      </c>
      <c r="AG388" t="s">
        <v>116</v>
      </c>
      <c r="AH388">
        <v>244.27878031988089</v>
      </c>
      <c r="AI388" t="s">
        <v>47</v>
      </c>
      <c r="AJ388" t="s">
        <v>104</v>
      </c>
      <c r="AK388">
        <v>203.1206532669033</v>
      </c>
      <c r="AL388">
        <v>1</v>
      </c>
      <c r="AM388" s="41" t="s">
        <v>348</v>
      </c>
    </row>
    <row r="389" spans="1:56" hidden="1">
      <c r="A389">
        <v>2607463530</v>
      </c>
      <c r="B389">
        <v>1144012000</v>
      </c>
      <c r="C389" t="s">
        <v>93</v>
      </c>
      <c r="D389" t="s">
        <v>0</v>
      </c>
      <c r="E389" t="s">
        <v>94</v>
      </c>
      <c r="F389" t="s">
        <v>108</v>
      </c>
      <c r="G389">
        <v>1</v>
      </c>
      <c r="H389">
        <v>24</v>
      </c>
      <c r="I389">
        <v>220000</v>
      </c>
      <c r="J389">
        <v>0</v>
      </c>
      <c r="K389" t="s">
        <v>406</v>
      </c>
      <c r="L389">
        <v>101</v>
      </c>
      <c r="M389">
        <v>30</v>
      </c>
      <c r="N389">
        <v>7333</v>
      </c>
      <c r="O389">
        <v>55.74</v>
      </c>
      <c r="P389">
        <v>16</v>
      </c>
      <c r="Q389">
        <v>13750</v>
      </c>
      <c r="R389" t="s">
        <v>208</v>
      </c>
      <c r="S389" s="40">
        <v>46060</v>
      </c>
      <c r="T389">
        <v>37.550803000000002</v>
      </c>
      <c r="U389">
        <v>126.91672199999999</v>
      </c>
      <c r="V389" t="s">
        <v>409</v>
      </c>
      <c r="W389" t="s">
        <v>410</v>
      </c>
      <c r="X389">
        <v>1</v>
      </c>
      <c r="Y389">
        <v>0</v>
      </c>
      <c r="Z389">
        <v>0</v>
      </c>
      <c r="AA389" t="s">
        <v>113</v>
      </c>
      <c r="AB389" t="s">
        <v>411</v>
      </c>
      <c r="AC389">
        <v>220000</v>
      </c>
      <c r="AD389">
        <v>0</v>
      </c>
      <c r="AE389" t="s">
        <v>101</v>
      </c>
      <c r="AF389" t="s">
        <v>115</v>
      </c>
      <c r="AG389" t="s">
        <v>116</v>
      </c>
      <c r="AH389">
        <v>244.27878031988089</v>
      </c>
      <c r="AI389" t="s">
        <v>47</v>
      </c>
      <c r="AJ389" t="s">
        <v>104</v>
      </c>
      <c r="AK389">
        <v>203.1206532669033</v>
      </c>
      <c r="AL389">
        <v>1</v>
      </c>
      <c r="AM389" s="41" t="s">
        <v>348</v>
      </c>
    </row>
    <row r="390" spans="1:56">
      <c r="A390">
        <v>2612013575</v>
      </c>
      <c r="B390">
        <v>1144012000</v>
      </c>
      <c r="C390" t="s">
        <v>93</v>
      </c>
      <c r="D390" t="s">
        <v>0</v>
      </c>
      <c r="E390" t="s">
        <v>94</v>
      </c>
      <c r="F390" t="s">
        <v>95</v>
      </c>
      <c r="G390" t="s">
        <v>3</v>
      </c>
      <c r="H390">
        <v>2</v>
      </c>
      <c r="I390">
        <v>607500</v>
      </c>
      <c r="J390">
        <v>0</v>
      </c>
      <c r="K390" t="s">
        <v>630</v>
      </c>
      <c r="L390">
        <v>195</v>
      </c>
      <c r="M390">
        <v>58</v>
      </c>
      <c r="N390">
        <v>10474</v>
      </c>
      <c r="O390">
        <v>195.66</v>
      </c>
      <c r="P390">
        <v>59</v>
      </c>
      <c r="Q390">
        <v>10297</v>
      </c>
      <c r="R390" t="s">
        <v>136</v>
      </c>
      <c r="S390" s="40">
        <v>46085</v>
      </c>
      <c r="T390">
        <v>37.554133999999998</v>
      </c>
      <c r="U390">
        <v>126.927812</v>
      </c>
      <c r="V390" t="s">
        <v>631</v>
      </c>
      <c r="W390" t="s">
        <v>632</v>
      </c>
      <c r="X390">
        <v>1</v>
      </c>
      <c r="Y390">
        <v>0</v>
      </c>
      <c r="Z390">
        <v>0</v>
      </c>
      <c r="AA390" t="s">
        <v>222</v>
      </c>
      <c r="AB390" t="s">
        <v>267</v>
      </c>
      <c r="AC390">
        <v>607500</v>
      </c>
      <c r="AD390">
        <v>0</v>
      </c>
      <c r="AE390" t="s">
        <v>101</v>
      </c>
      <c r="AF390" t="s">
        <v>165</v>
      </c>
      <c r="AG390" t="s">
        <v>166</v>
      </c>
      <c r="AH390">
        <v>553.45260008787204</v>
      </c>
      <c r="AI390" t="s">
        <v>47</v>
      </c>
      <c r="AJ390" t="s">
        <v>104</v>
      </c>
      <c r="AK390">
        <v>1115.5439345797852</v>
      </c>
      <c r="AL390" t="s">
        <v>105</v>
      </c>
      <c r="AM390" s="41" t="s">
        <v>633</v>
      </c>
      <c r="AN390">
        <f>IFERROR(VALUE(LEFT($W390,FIND("년",$W390)-1)),"")</f>
        <v>25</v>
      </c>
      <c r="AO390" t="str">
        <f>IFERROR(IF(FIND("년",$W390)=3,MID($W390,FIND("년",$W390)+1,FIND("년",$W390)-1),MID($W390,FIND("년",$W390)+1,FIND("년",$W390))),"")</f>
        <v>이상</v>
      </c>
      <c r="AP390">
        <f>IFERROR(IF($AN390&lt;11,10,IF(AND($AN390&lt;26,$AO390="이내"),25,26)),"")</f>
        <v>26</v>
      </c>
      <c r="AQ390">
        <f>IFERROR(IF($P390&lt;10,9,IF($P390&lt;20,10,IF($P390&lt;30,20,IF($P390&lt;40,30,40)))),"")</f>
        <v>40</v>
      </c>
      <c r="AR390" t="str">
        <f>IFERROR(IF($D390="상가",IF($G390="1","1층",IF($G390="전체층","전체층",IF(LEFT($G390,1)="B","B1",IF($G390&lt;6,"저",IF($G390/$H390&lt;=$BC$9,"저",IF($G390/$H390&lt;=$BC$10,"중","고")))))),IF(LEFT($G390,1)="B","B1",IF($H390&lt;6,"저",IF($G390/$H390&lt;=$BC$2,"저",IF($G390/$H390&lt;=$BC$3,"중","고"))))),"")</f>
        <v>전체층</v>
      </c>
      <c r="AS390">
        <f>IFERROR(ACOS(SIN(RADIANS(거래사례!$S$11))*SIN(RADIANS($T390))+COS(RADIANS(거래사례!$S$11))*COS(RADIANS($T390))*COS(RADIANS($U390-거래사례!$P$11)))*6371000,"")</f>
        <v>641.36282081372497</v>
      </c>
    </row>
    <row r="391" spans="1:56" hidden="1">
      <c r="A391">
        <v>2609679004</v>
      </c>
      <c r="B391">
        <v>1144012000</v>
      </c>
      <c r="C391" t="s">
        <v>134</v>
      </c>
      <c r="D391" t="s">
        <v>0</v>
      </c>
      <c r="E391" t="s">
        <v>94</v>
      </c>
      <c r="F391" t="s">
        <v>95</v>
      </c>
      <c r="G391">
        <v>1</v>
      </c>
      <c r="H391">
        <v>6</v>
      </c>
      <c r="I391">
        <v>45000</v>
      </c>
      <c r="J391">
        <v>0</v>
      </c>
      <c r="K391" t="s">
        <v>203</v>
      </c>
      <c r="L391">
        <v>28</v>
      </c>
      <c r="M391">
        <v>8</v>
      </c>
      <c r="N391">
        <v>5625</v>
      </c>
      <c r="O391">
        <v>10.7</v>
      </c>
      <c r="P391">
        <v>3</v>
      </c>
      <c r="Q391">
        <v>15000</v>
      </c>
      <c r="R391" t="s">
        <v>110</v>
      </c>
      <c r="S391" s="40">
        <v>46073</v>
      </c>
      <c r="T391">
        <v>37.553488000000002</v>
      </c>
      <c r="U391">
        <v>126.92430400000001</v>
      </c>
      <c r="V391" t="s">
        <v>640</v>
      </c>
      <c r="W391" t="s">
        <v>470</v>
      </c>
      <c r="X391">
        <v>1</v>
      </c>
      <c r="Y391">
        <v>0</v>
      </c>
      <c r="Z391">
        <v>0</v>
      </c>
      <c r="AA391" t="s">
        <v>113</v>
      </c>
      <c r="AB391" t="s">
        <v>429</v>
      </c>
      <c r="AC391">
        <v>45000</v>
      </c>
      <c r="AD391">
        <v>0</v>
      </c>
      <c r="AE391" t="s">
        <v>101</v>
      </c>
      <c r="AF391" t="s">
        <v>165</v>
      </c>
      <c r="AG391" t="s">
        <v>166</v>
      </c>
      <c r="AH391">
        <v>385.18638332688346</v>
      </c>
      <c r="AI391" t="s">
        <v>47</v>
      </c>
      <c r="AJ391" t="s">
        <v>104</v>
      </c>
      <c r="AK391">
        <v>730.39400802924092</v>
      </c>
      <c r="AL391" t="s">
        <v>105</v>
      </c>
      <c r="AM391" s="41" t="s">
        <v>563</v>
      </c>
    </row>
    <row r="392" spans="1:56">
      <c r="A392">
        <v>2612013575</v>
      </c>
      <c r="B392">
        <v>1144012000</v>
      </c>
      <c r="C392" t="s">
        <v>93</v>
      </c>
      <c r="D392" t="s">
        <v>0</v>
      </c>
      <c r="E392" t="s">
        <v>94</v>
      </c>
      <c r="F392" t="s">
        <v>95</v>
      </c>
      <c r="G392" t="s">
        <v>3</v>
      </c>
      <c r="H392">
        <v>2</v>
      </c>
      <c r="I392">
        <v>607500</v>
      </c>
      <c r="J392">
        <v>0</v>
      </c>
      <c r="K392" t="s">
        <v>630</v>
      </c>
      <c r="L392">
        <v>195</v>
      </c>
      <c r="M392">
        <v>58</v>
      </c>
      <c r="N392">
        <v>10474</v>
      </c>
      <c r="O392">
        <v>195.66</v>
      </c>
      <c r="P392">
        <v>59</v>
      </c>
      <c r="Q392">
        <v>10297</v>
      </c>
      <c r="R392" t="s">
        <v>136</v>
      </c>
      <c r="S392" s="40">
        <v>46085</v>
      </c>
      <c r="T392">
        <v>37.554133999999998</v>
      </c>
      <c r="U392">
        <v>126.927812</v>
      </c>
      <c r="V392" t="s">
        <v>631</v>
      </c>
      <c r="W392" t="s">
        <v>632</v>
      </c>
      <c r="X392">
        <v>1</v>
      </c>
      <c r="Y392">
        <v>0</v>
      </c>
      <c r="Z392">
        <v>0</v>
      </c>
      <c r="AA392" t="s">
        <v>222</v>
      </c>
      <c r="AB392" t="s">
        <v>267</v>
      </c>
      <c r="AC392">
        <v>607500</v>
      </c>
      <c r="AD392">
        <v>0</v>
      </c>
      <c r="AE392" t="s">
        <v>101</v>
      </c>
      <c r="AF392" t="s">
        <v>165</v>
      </c>
      <c r="AG392" t="s">
        <v>166</v>
      </c>
      <c r="AH392">
        <v>553.45260008787204</v>
      </c>
      <c r="AI392" t="s">
        <v>47</v>
      </c>
      <c r="AJ392" t="s">
        <v>104</v>
      </c>
      <c r="AK392">
        <v>1115.5439345797852</v>
      </c>
      <c r="AL392" t="s">
        <v>105</v>
      </c>
      <c r="AM392" s="41" t="s">
        <v>633</v>
      </c>
      <c r="AN392">
        <f>IFERROR(VALUE(LEFT($W392,FIND("년",$W392)-1)),"")</f>
        <v>25</v>
      </c>
      <c r="AO392" t="str">
        <f>IFERROR(IF(FIND("년",$W392)=3,MID($W392,FIND("년",$W392)+1,FIND("년",$W392)-1),MID($W392,FIND("년",$W392)+1,FIND("년",$W392))),"")</f>
        <v>이상</v>
      </c>
      <c r="AP392">
        <f>IFERROR(IF($AN392&lt;11,10,IF(AND($AN392&lt;26,$AO392="이내"),25,26)),"")</f>
        <v>26</v>
      </c>
      <c r="AQ392">
        <f>IFERROR(IF($P392&lt;10,9,IF($P392&lt;20,10,IF($P392&lt;30,20,IF($P392&lt;40,30,40)))),"")</f>
        <v>40</v>
      </c>
      <c r="AR392" t="str">
        <f>IFERROR(IF($D392="상가",IF($G392="1","1층",IF($G392="전체층","전체층",IF(LEFT($G392,1)="B","B1",IF($G392&lt;6,"저",IF($G392/$H392&lt;=$BC$9,"저",IF($G392/$H392&lt;=$BC$10,"중","고")))))),IF(LEFT($G392,1)="B","B1",IF($H392&lt;6,"저",IF($G392/$H392&lt;=$BC$2,"저",IF($G392/$H392&lt;=$BC$3,"중","고"))))),"")</f>
        <v>전체층</v>
      </c>
      <c r="AS392">
        <f>IFERROR(ACOS(SIN(RADIANS(거래사례!$S$11))*SIN(RADIANS($T392))+COS(RADIANS(거래사례!$S$11))*COS(RADIANS($T392))*COS(RADIANS($U392-거래사례!$P$11)))*6371000,"")</f>
        <v>641.36282081372497</v>
      </c>
    </row>
    <row r="393" spans="1:56" hidden="1">
      <c r="A393">
        <v>2610273517</v>
      </c>
      <c r="B393">
        <v>1144012400</v>
      </c>
      <c r="C393" t="s">
        <v>93</v>
      </c>
      <c r="D393" t="s">
        <v>0</v>
      </c>
      <c r="E393" t="s">
        <v>94</v>
      </c>
      <c r="F393" t="s">
        <v>119</v>
      </c>
      <c r="G393">
        <v>1</v>
      </c>
      <c r="H393">
        <v>3</v>
      </c>
      <c r="I393">
        <v>255000</v>
      </c>
      <c r="J393">
        <v>0</v>
      </c>
      <c r="K393" t="s">
        <v>645</v>
      </c>
      <c r="L393">
        <v>99</v>
      </c>
      <c r="M393">
        <v>29</v>
      </c>
      <c r="N393">
        <v>8793</v>
      </c>
      <c r="O393">
        <v>38.82</v>
      </c>
      <c r="P393">
        <v>11</v>
      </c>
      <c r="Q393">
        <v>23182</v>
      </c>
      <c r="R393" t="s">
        <v>96</v>
      </c>
      <c r="S393" s="40">
        <v>46076</v>
      </c>
      <c r="T393">
        <v>37.562255</v>
      </c>
      <c r="U393">
        <v>126.92640299999999</v>
      </c>
      <c r="V393" t="s">
        <v>646</v>
      </c>
      <c r="W393" t="s">
        <v>584</v>
      </c>
      <c r="X393">
        <v>1</v>
      </c>
      <c r="Y393">
        <v>0</v>
      </c>
      <c r="Z393">
        <v>0</v>
      </c>
      <c r="AA393" t="s">
        <v>124</v>
      </c>
      <c r="AB393" t="s">
        <v>647</v>
      </c>
      <c r="AC393">
        <v>255000</v>
      </c>
      <c r="AD393">
        <v>0</v>
      </c>
      <c r="AE393" t="s">
        <v>101</v>
      </c>
      <c r="AF393" t="s">
        <v>165</v>
      </c>
      <c r="AG393" t="s">
        <v>166</v>
      </c>
      <c r="AH393">
        <v>359.12852725158257</v>
      </c>
      <c r="AI393" t="s">
        <v>47</v>
      </c>
      <c r="AJ393" t="s">
        <v>104</v>
      </c>
      <c r="AK393">
        <v>873.38427990074229</v>
      </c>
      <c r="AL393" t="s">
        <v>105</v>
      </c>
      <c r="AM393" s="41" t="s">
        <v>648</v>
      </c>
    </row>
    <row r="394" spans="1:56" hidden="1">
      <c r="A394">
        <v>2609438757</v>
      </c>
      <c r="B394">
        <v>1144012000</v>
      </c>
      <c r="C394" t="s">
        <v>134</v>
      </c>
      <c r="D394" t="s">
        <v>0</v>
      </c>
      <c r="E394" t="s">
        <v>94</v>
      </c>
      <c r="F394" t="s">
        <v>95</v>
      </c>
      <c r="G394">
        <v>1</v>
      </c>
      <c r="H394">
        <v>19</v>
      </c>
      <c r="I394">
        <v>16000</v>
      </c>
      <c r="J394">
        <v>0</v>
      </c>
      <c r="K394" t="s">
        <v>109</v>
      </c>
      <c r="L394">
        <v>21</v>
      </c>
      <c r="M394">
        <v>6</v>
      </c>
      <c r="N394">
        <v>2666</v>
      </c>
      <c r="O394">
        <v>21.74</v>
      </c>
      <c r="P394">
        <v>6</v>
      </c>
      <c r="Q394">
        <v>2667</v>
      </c>
      <c r="R394" t="s">
        <v>161</v>
      </c>
      <c r="S394" s="40">
        <v>46073</v>
      </c>
      <c r="T394">
        <v>37.553798999999998</v>
      </c>
      <c r="U394">
        <v>126.92370099999999</v>
      </c>
      <c r="V394" t="s">
        <v>162</v>
      </c>
      <c r="W394" t="s">
        <v>163</v>
      </c>
      <c r="X394">
        <v>1</v>
      </c>
      <c r="Y394">
        <v>0</v>
      </c>
      <c r="Z394">
        <v>0</v>
      </c>
      <c r="AA394" t="s">
        <v>139</v>
      </c>
      <c r="AB394" t="s">
        <v>164</v>
      </c>
      <c r="AC394">
        <v>16000</v>
      </c>
      <c r="AD394">
        <v>0</v>
      </c>
      <c r="AE394" t="s">
        <v>101</v>
      </c>
      <c r="AF394" t="s">
        <v>165</v>
      </c>
      <c r="AG394" t="s">
        <v>166</v>
      </c>
      <c r="AH394">
        <v>344.14694489895248</v>
      </c>
      <c r="AI394" t="s">
        <v>47</v>
      </c>
      <c r="AJ394" t="s">
        <v>104</v>
      </c>
      <c r="AK394">
        <v>690.06417067304881</v>
      </c>
      <c r="AL394" t="s">
        <v>105</v>
      </c>
      <c r="AM394" s="41" t="s">
        <v>167</v>
      </c>
      <c r="BB394" t="s">
        <v>107</v>
      </c>
      <c r="BC394">
        <v>0.2</v>
      </c>
      <c r="BD394">
        <v>0</v>
      </c>
    </row>
    <row r="395" spans="1:56" hidden="1">
      <c r="A395">
        <v>2611459507</v>
      </c>
      <c r="B395">
        <v>1144011700</v>
      </c>
      <c r="C395" t="s">
        <v>134</v>
      </c>
      <c r="D395" t="s">
        <v>0</v>
      </c>
      <c r="E395" t="s">
        <v>94</v>
      </c>
      <c r="F395" t="s">
        <v>135</v>
      </c>
      <c r="G395">
        <v>1</v>
      </c>
      <c r="H395">
        <v>3</v>
      </c>
      <c r="I395">
        <v>22000</v>
      </c>
      <c r="J395">
        <v>0</v>
      </c>
      <c r="K395" t="s">
        <v>120</v>
      </c>
      <c r="L395">
        <v>40</v>
      </c>
      <c r="M395">
        <v>12</v>
      </c>
      <c r="N395">
        <v>1833</v>
      </c>
      <c r="O395">
        <v>28.08</v>
      </c>
      <c r="P395">
        <v>8</v>
      </c>
      <c r="Q395">
        <v>2750</v>
      </c>
      <c r="R395" t="s">
        <v>136</v>
      </c>
      <c r="S395" s="40">
        <v>46083</v>
      </c>
      <c r="T395">
        <v>37.543982999999997</v>
      </c>
      <c r="U395">
        <v>126.931101</v>
      </c>
      <c r="V395" t="s">
        <v>701</v>
      </c>
      <c r="W395" t="s">
        <v>284</v>
      </c>
      <c r="X395">
        <v>1</v>
      </c>
      <c r="Y395">
        <v>0</v>
      </c>
      <c r="Z395">
        <v>0</v>
      </c>
      <c r="AA395" t="s">
        <v>176</v>
      </c>
      <c r="AB395" t="s">
        <v>595</v>
      </c>
      <c r="AC395">
        <v>22000</v>
      </c>
      <c r="AD395">
        <v>0</v>
      </c>
      <c r="AE395" t="s">
        <v>101</v>
      </c>
      <c r="AF395" t="s">
        <v>481</v>
      </c>
      <c r="AG395" t="s">
        <v>103</v>
      </c>
      <c r="AH395">
        <v>412.77409844393799</v>
      </c>
      <c r="AI395" t="s">
        <v>47</v>
      </c>
      <c r="AJ395" t="s">
        <v>104</v>
      </c>
      <c r="AK395">
        <v>1574.4953859928955</v>
      </c>
      <c r="AL395" t="s">
        <v>105</v>
      </c>
      <c r="AM395" s="41" t="s">
        <v>702</v>
      </c>
      <c r="BB395" t="s">
        <v>118</v>
      </c>
      <c r="BC395">
        <v>0.6</v>
      </c>
      <c r="BD395">
        <v>0</v>
      </c>
    </row>
    <row r="396" spans="1:56" hidden="1">
      <c r="A396">
        <v>2609288825</v>
      </c>
      <c r="B396">
        <v>1144012000</v>
      </c>
      <c r="C396" t="s">
        <v>134</v>
      </c>
      <c r="D396" t="s">
        <v>0</v>
      </c>
      <c r="E396" t="s">
        <v>94</v>
      </c>
      <c r="F396" t="s">
        <v>95</v>
      </c>
      <c r="G396" t="s">
        <v>35</v>
      </c>
      <c r="H396">
        <v>18</v>
      </c>
      <c r="I396">
        <v>34000</v>
      </c>
      <c r="J396">
        <v>0</v>
      </c>
      <c r="K396" t="s">
        <v>179</v>
      </c>
      <c r="L396">
        <v>41</v>
      </c>
      <c r="M396">
        <v>12</v>
      </c>
      <c r="N396">
        <v>2833</v>
      </c>
      <c r="O396">
        <v>41.84</v>
      </c>
      <c r="P396">
        <v>12</v>
      </c>
      <c r="Q396">
        <v>2833</v>
      </c>
      <c r="R396" t="s">
        <v>161</v>
      </c>
      <c r="S396" s="40">
        <v>46072</v>
      </c>
      <c r="T396">
        <v>37.553798999999998</v>
      </c>
      <c r="U396">
        <v>126.92370099999999</v>
      </c>
      <c r="V396" t="s">
        <v>180</v>
      </c>
      <c r="W396" t="s">
        <v>181</v>
      </c>
      <c r="X396">
        <v>1</v>
      </c>
      <c r="Y396">
        <v>0</v>
      </c>
      <c r="Z396">
        <v>0</v>
      </c>
      <c r="AA396" t="s">
        <v>139</v>
      </c>
      <c r="AB396" t="s">
        <v>182</v>
      </c>
      <c r="AC396">
        <v>34000</v>
      </c>
      <c r="AD396">
        <v>0</v>
      </c>
      <c r="AE396" t="s">
        <v>101</v>
      </c>
      <c r="AF396" t="s">
        <v>165</v>
      </c>
      <c r="AG396" t="s">
        <v>166</v>
      </c>
      <c r="AH396">
        <v>344.14694489895248</v>
      </c>
      <c r="AI396" t="s">
        <v>47</v>
      </c>
      <c r="AJ396" t="s">
        <v>104</v>
      </c>
      <c r="AK396">
        <v>690.06417067304881</v>
      </c>
      <c r="AL396" t="s">
        <v>105</v>
      </c>
      <c r="AM396" s="41" t="s">
        <v>167</v>
      </c>
      <c r="BB396" t="s">
        <v>127</v>
      </c>
      <c r="BC396">
        <v>1</v>
      </c>
      <c r="BD396">
        <v>0</v>
      </c>
    </row>
    <row r="397" spans="1:56" hidden="1">
      <c r="A397">
        <v>2606896804</v>
      </c>
      <c r="B397">
        <v>1144012000</v>
      </c>
      <c r="C397" t="s">
        <v>134</v>
      </c>
      <c r="D397" t="s">
        <v>0</v>
      </c>
      <c r="E397" t="s">
        <v>94</v>
      </c>
      <c r="F397" t="s">
        <v>95</v>
      </c>
      <c r="G397">
        <v>1</v>
      </c>
      <c r="H397">
        <v>19</v>
      </c>
      <c r="I397">
        <v>30000</v>
      </c>
      <c r="J397">
        <v>0</v>
      </c>
      <c r="K397" t="s">
        <v>183</v>
      </c>
      <c r="L397">
        <v>34</v>
      </c>
      <c r="M397">
        <v>10</v>
      </c>
      <c r="N397">
        <v>3000</v>
      </c>
      <c r="O397">
        <v>34.340000000000003</v>
      </c>
      <c r="P397">
        <v>10</v>
      </c>
      <c r="Q397">
        <v>3000</v>
      </c>
      <c r="R397" t="s">
        <v>161</v>
      </c>
      <c r="S397" s="40">
        <v>46057</v>
      </c>
      <c r="T397">
        <v>37.553798999999998</v>
      </c>
      <c r="U397">
        <v>126.92370099999999</v>
      </c>
      <c r="V397" t="s">
        <v>184</v>
      </c>
      <c r="W397" t="s">
        <v>185</v>
      </c>
      <c r="X397">
        <v>1</v>
      </c>
      <c r="Y397">
        <v>0</v>
      </c>
      <c r="Z397">
        <v>0</v>
      </c>
      <c r="AA397" t="s">
        <v>139</v>
      </c>
      <c r="AB397" t="s">
        <v>186</v>
      </c>
      <c r="AC397">
        <v>30000</v>
      </c>
      <c r="AD397">
        <v>0</v>
      </c>
      <c r="AE397" t="s">
        <v>101</v>
      </c>
      <c r="AF397" t="s">
        <v>165</v>
      </c>
      <c r="AG397" t="s">
        <v>166</v>
      </c>
      <c r="AH397">
        <v>344.14694489895248</v>
      </c>
      <c r="AI397" t="s">
        <v>47</v>
      </c>
      <c r="AJ397" t="s">
        <v>104</v>
      </c>
      <c r="AK397">
        <v>690.06417067304881</v>
      </c>
      <c r="AL397" t="s">
        <v>105</v>
      </c>
      <c r="AM397" s="41" t="s">
        <v>167</v>
      </c>
      <c r="BB397" t="s">
        <v>35</v>
      </c>
      <c r="BD397">
        <v>0</v>
      </c>
    </row>
    <row r="398" spans="1:56">
      <c r="A398">
        <v>2612013575</v>
      </c>
      <c r="B398">
        <v>1144012000</v>
      </c>
      <c r="C398" t="s">
        <v>93</v>
      </c>
      <c r="D398" t="s">
        <v>0</v>
      </c>
      <c r="E398" t="s">
        <v>94</v>
      </c>
      <c r="F398" t="s">
        <v>95</v>
      </c>
      <c r="G398" t="s">
        <v>3</v>
      </c>
      <c r="H398">
        <v>2</v>
      </c>
      <c r="I398">
        <v>607500</v>
      </c>
      <c r="J398">
        <v>0</v>
      </c>
      <c r="K398" t="s">
        <v>630</v>
      </c>
      <c r="L398">
        <v>195</v>
      </c>
      <c r="M398">
        <v>58</v>
      </c>
      <c r="N398">
        <v>10474</v>
      </c>
      <c r="O398">
        <v>195.66</v>
      </c>
      <c r="P398">
        <v>59</v>
      </c>
      <c r="Q398">
        <v>10297</v>
      </c>
      <c r="R398" t="s">
        <v>136</v>
      </c>
      <c r="S398" s="40">
        <v>46085</v>
      </c>
      <c r="T398">
        <v>37.554133999999998</v>
      </c>
      <c r="U398">
        <v>126.927812</v>
      </c>
      <c r="V398" t="s">
        <v>631</v>
      </c>
      <c r="W398" t="s">
        <v>632</v>
      </c>
      <c r="X398">
        <v>1</v>
      </c>
      <c r="Y398">
        <v>0</v>
      </c>
      <c r="Z398">
        <v>0</v>
      </c>
      <c r="AA398" t="s">
        <v>222</v>
      </c>
      <c r="AB398" t="s">
        <v>267</v>
      </c>
      <c r="AC398">
        <v>607500</v>
      </c>
      <c r="AD398">
        <v>0</v>
      </c>
      <c r="AE398" t="s">
        <v>101</v>
      </c>
      <c r="AF398" t="s">
        <v>165</v>
      </c>
      <c r="AG398" t="s">
        <v>166</v>
      </c>
      <c r="AH398">
        <v>553.45260008787204</v>
      </c>
      <c r="AI398" t="s">
        <v>47</v>
      </c>
      <c r="AJ398" t="s">
        <v>104</v>
      </c>
      <c r="AK398">
        <v>1115.5439345797852</v>
      </c>
      <c r="AL398" t="s">
        <v>105</v>
      </c>
      <c r="AM398" s="41" t="s">
        <v>633</v>
      </c>
      <c r="AN398">
        <f>IFERROR(VALUE(LEFT($W398,FIND("년",$W398)-1)),"")</f>
        <v>25</v>
      </c>
      <c r="AO398" t="str">
        <f>IFERROR(IF(FIND("년",$W398)=3,MID($W398,FIND("년",$W398)+1,FIND("년",$W398)-1),MID($W398,FIND("년",$W398)+1,FIND("년",$W398))),"")</f>
        <v>이상</v>
      </c>
      <c r="AP398">
        <f>IFERROR(IF($AN398&lt;11,10,IF(AND($AN398&lt;26,$AO398="이내"),25,26)),"")</f>
        <v>26</v>
      </c>
      <c r="AQ398">
        <f>IFERROR(IF($P398&lt;10,9,IF($P398&lt;20,10,IF($P398&lt;30,20,IF($P398&lt;40,30,40)))),"")</f>
        <v>40</v>
      </c>
      <c r="AR398" t="str">
        <f>IFERROR(IF($D398="상가",IF($G398="1","1층",IF($G398="전체층","전체층",IF(LEFT($G398,1)="B","B1",IF($G398&lt;6,"저",IF($G398/$H398&lt;=$BC$9,"저",IF($G398/$H398&lt;=$BC$10,"중","고")))))),IF(LEFT($G398,1)="B","B1",IF($H398&lt;6,"저",IF($G398/$H398&lt;=$BC$2,"저",IF($G398/$H398&lt;=$BC$3,"중","고"))))),"")</f>
        <v>전체층</v>
      </c>
      <c r="AS398">
        <f>IFERROR(ACOS(SIN(RADIANS(거래사례!$S$11))*SIN(RADIANS($T398))+COS(RADIANS(거래사례!$S$11))*COS(RADIANS($T398))*COS(RADIANS($U398-거래사례!$P$11)))*6371000,"")</f>
        <v>641.36282081372497</v>
      </c>
    </row>
    <row r="399" spans="1:56" hidden="1">
      <c r="A399">
        <v>2611891693</v>
      </c>
      <c r="B399">
        <v>1144011400</v>
      </c>
      <c r="C399" t="s">
        <v>134</v>
      </c>
      <c r="D399" t="s">
        <v>0</v>
      </c>
      <c r="E399" t="s">
        <v>94</v>
      </c>
      <c r="F399" t="s">
        <v>135</v>
      </c>
      <c r="G399">
        <v>2</v>
      </c>
      <c r="H399">
        <v>2</v>
      </c>
      <c r="I399">
        <v>45000</v>
      </c>
      <c r="J399">
        <v>0</v>
      </c>
      <c r="K399" t="s">
        <v>203</v>
      </c>
      <c r="L399">
        <v>49</v>
      </c>
      <c r="M399">
        <v>14</v>
      </c>
      <c r="N399">
        <v>3214</v>
      </c>
      <c r="O399">
        <v>49</v>
      </c>
      <c r="P399">
        <v>14</v>
      </c>
      <c r="Q399">
        <v>3214</v>
      </c>
      <c r="R399" t="s">
        <v>145</v>
      </c>
      <c r="S399" s="40">
        <v>46085</v>
      </c>
      <c r="T399">
        <v>37.548369000000001</v>
      </c>
      <c r="U399">
        <v>126.92944799999999</v>
      </c>
      <c r="V399" t="s">
        <v>499</v>
      </c>
      <c r="W399" t="s">
        <v>479</v>
      </c>
      <c r="X399">
        <v>1</v>
      </c>
      <c r="Y399">
        <v>0</v>
      </c>
      <c r="Z399">
        <v>0</v>
      </c>
      <c r="AA399" t="s">
        <v>176</v>
      </c>
      <c r="AB399" t="s">
        <v>500</v>
      </c>
      <c r="AC399">
        <v>45000</v>
      </c>
      <c r="AD399">
        <v>0</v>
      </c>
      <c r="AE399" t="s">
        <v>101</v>
      </c>
      <c r="AF399" t="s">
        <v>481</v>
      </c>
      <c r="AG399" t="s">
        <v>103</v>
      </c>
      <c r="AH399">
        <v>353.10489569662644</v>
      </c>
      <c r="AI399" t="s">
        <v>47</v>
      </c>
      <c r="AJ399" t="s">
        <v>104</v>
      </c>
      <c r="AK399">
        <v>1239.2769741190828</v>
      </c>
      <c r="AL399" t="s">
        <v>105</v>
      </c>
      <c r="AM399" s="41" t="s">
        <v>482</v>
      </c>
      <c r="BB399" t="s">
        <v>0</v>
      </c>
    </row>
    <row r="400" spans="1:56" hidden="1">
      <c r="A400">
        <v>2609225120</v>
      </c>
      <c r="B400">
        <v>1144011400</v>
      </c>
      <c r="C400" t="s">
        <v>134</v>
      </c>
      <c r="D400" t="s">
        <v>0</v>
      </c>
      <c r="E400" t="s">
        <v>94</v>
      </c>
      <c r="F400" t="s">
        <v>119</v>
      </c>
      <c r="G400">
        <v>2</v>
      </c>
      <c r="H400">
        <v>2</v>
      </c>
      <c r="I400">
        <v>45000</v>
      </c>
      <c r="J400">
        <v>0</v>
      </c>
      <c r="K400" t="s">
        <v>203</v>
      </c>
      <c r="L400">
        <v>49</v>
      </c>
      <c r="M400">
        <v>14</v>
      </c>
      <c r="N400">
        <v>3214</v>
      </c>
      <c r="O400">
        <v>49</v>
      </c>
      <c r="P400">
        <v>14</v>
      </c>
      <c r="Q400">
        <v>3214</v>
      </c>
      <c r="R400" t="s">
        <v>145</v>
      </c>
      <c r="S400" s="40">
        <v>46072</v>
      </c>
      <c r="T400">
        <v>37.548369000000001</v>
      </c>
      <c r="U400">
        <v>126.92944799999999</v>
      </c>
      <c r="V400" t="s">
        <v>501</v>
      </c>
      <c r="W400" t="s">
        <v>479</v>
      </c>
      <c r="X400">
        <v>3</v>
      </c>
      <c r="Y400" t="s">
        <v>238</v>
      </c>
      <c r="Z400" t="s">
        <v>203</v>
      </c>
      <c r="AA400" t="s">
        <v>124</v>
      </c>
      <c r="AB400" t="s">
        <v>502</v>
      </c>
      <c r="AC400">
        <v>45000</v>
      </c>
      <c r="AD400">
        <v>0</v>
      </c>
      <c r="AE400" t="s">
        <v>101</v>
      </c>
      <c r="AF400" t="s">
        <v>481</v>
      </c>
      <c r="AG400" t="s">
        <v>103</v>
      </c>
      <c r="AH400">
        <v>353.10489569662644</v>
      </c>
      <c r="AI400" t="s">
        <v>47</v>
      </c>
      <c r="AJ400" t="s">
        <v>104</v>
      </c>
      <c r="AK400">
        <v>1239.2769741190828</v>
      </c>
      <c r="AL400" t="s">
        <v>105</v>
      </c>
      <c r="AM400" s="41" t="s">
        <v>482</v>
      </c>
      <c r="BB400" t="s">
        <v>45</v>
      </c>
      <c r="BD400">
        <v>0</v>
      </c>
    </row>
    <row r="401" spans="1:56" hidden="1">
      <c r="A401">
        <v>2610163162</v>
      </c>
      <c r="B401">
        <v>1144012000</v>
      </c>
      <c r="C401" t="s">
        <v>134</v>
      </c>
      <c r="D401" t="s">
        <v>0</v>
      </c>
      <c r="E401" t="s">
        <v>94</v>
      </c>
      <c r="F401" t="s">
        <v>95</v>
      </c>
      <c r="G401">
        <v>1</v>
      </c>
      <c r="H401">
        <v>19</v>
      </c>
      <c r="I401">
        <v>33000</v>
      </c>
      <c r="J401">
        <v>0</v>
      </c>
      <c r="K401" t="s">
        <v>191</v>
      </c>
      <c r="L401">
        <v>34</v>
      </c>
      <c r="M401">
        <v>10</v>
      </c>
      <c r="N401">
        <v>3300</v>
      </c>
      <c r="O401">
        <v>34.94</v>
      </c>
      <c r="P401">
        <v>10</v>
      </c>
      <c r="Q401">
        <v>3300</v>
      </c>
      <c r="R401" t="s">
        <v>161</v>
      </c>
      <c r="S401" s="40">
        <v>46076</v>
      </c>
      <c r="T401">
        <v>37.553798999999998</v>
      </c>
      <c r="U401">
        <v>126.92370099999999</v>
      </c>
      <c r="V401" t="s">
        <v>192</v>
      </c>
      <c r="W401" t="s">
        <v>193</v>
      </c>
      <c r="X401">
        <v>1</v>
      </c>
      <c r="Y401">
        <v>0</v>
      </c>
      <c r="Z401">
        <v>0</v>
      </c>
      <c r="AA401" t="s">
        <v>139</v>
      </c>
      <c r="AB401" t="s">
        <v>186</v>
      </c>
      <c r="AC401">
        <v>33000</v>
      </c>
      <c r="AD401">
        <v>0</v>
      </c>
      <c r="AE401" t="s">
        <v>101</v>
      </c>
      <c r="AF401" t="s">
        <v>165</v>
      </c>
      <c r="AG401" t="s">
        <v>166</v>
      </c>
      <c r="AH401">
        <v>344.14694489895248</v>
      </c>
      <c r="AI401" t="s">
        <v>47</v>
      </c>
      <c r="AJ401" t="s">
        <v>104</v>
      </c>
      <c r="AK401">
        <v>690.06417067304881</v>
      </c>
      <c r="AL401" t="s">
        <v>105</v>
      </c>
      <c r="AM401" s="41" t="s">
        <v>167</v>
      </c>
      <c r="BB401" t="s">
        <v>107</v>
      </c>
      <c r="BC401">
        <v>0.4</v>
      </c>
      <c r="BD401">
        <v>0</v>
      </c>
    </row>
    <row r="402" spans="1:56" hidden="1">
      <c r="A402">
        <v>2608990773</v>
      </c>
      <c r="B402">
        <v>1144011400</v>
      </c>
      <c r="C402" t="s">
        <v>134</v>
      </c>
      <c r="D402" t="s">
        <v>0</v>
      </c>
      <c r="E402" t="s">
        <v>94</v>
      </c>
      <c r="F402" t="s">
        <v>119</v>
      </c>
      <c r="G402">
        <v>1</v>
      </c>
      <c r="H402">
        <v>15</v>
      </c>
      <c r="I402">
        <v>38000</v>
      </c>
      <c r="J402">
        <v>0</v>
      </c>
      <c r="K402" t="s">
        <v>703</v>
      </c>
      <c r="L402">
        <v>61</v>
      </c>
      <c r="M402">
        <v>18</v>
      </c>
      <c r="N402">
        <v>2111</v>
      </c>
      <c r="O402">
        <v>38.090000000000003</v>
      </c>
      <c r="P402">
        <v>11</v>
      </c>
      <c r="Q402">
        <v>3455</v>
      </c>
      <c r="R402" t="s">
        <v>208</v>
      </c>
      <c r="S402" s="40">
        <v>46069</v>
      </c>
      <c r="T402">
        <v>37.546604000000002</v>
      </c>
      <c r="U402">
        <v>126.931831</v>
      </c>
      <c r="V402" t="s">
        <v>704</v>
      </c>
      <c r="W402" t="s">
        <v>548</v>
      </c>
      <c r="X402">
        <v>2</v>
      </c>
      <c r="Y402" t="s">
        <v>304</v>
      </c>
      <c r="Z402" t="s">
        <v>703</v>
      </c>
      <c r="AA402" t="s">
        <v>124</v>
      </c>
      <c r="AB402" t="s">
        <v>705</v>
      </c>
      <c r="AC402">
        <v>38000</v>
      </c>
      <c r="AD402">
        <v>0</v>
      </c>
      <c r="AE402" t="s">
        <v>101</v>
      </c>
      <c r="AF402" t="s">
        <v>481</v>
      </c>
      <c r="AG402" t="s">
        <v>103</v>
      </c>
      <c r="AH402">
        <v>116.39260612259596</v>
      </c>
      <c r="AI402" t="s">
        <v>47</v>
      </c>
      <c r="AJ402" t="s">
        <v>104</v>
      </c>
      <c r="AK402">
        <v>1542.9402267317305</v>
      </c>
      <c r="AL402" t="s">
        <v>105</v>
      </c>
      <c r="AM402" s="41" t="s">
        <v>706</v>
      </c>
      <c r="BB402" t="s">
        <v>118</v>
      </c>
      <c r="BC402">
        <v>0.7</v>
      </c>
      <c r="BD402">
        <v>0</v>
      </c>
    </row>
    <row r="403" spans="1:56" hidden="1">
      <c r="A403">
        <v>2609706306</v>
      </c>
      <c r="B403">
        <v>1144011400</v>
      </c>
      <c r="C403" t="s">
        <v>134</v>
      </c>
      <c r="D403" t="s">
        <v>0</v>
      </c>
      <c r="E403" t="s">
        <v>94</v>
      </c>
      <c r="F403" t="s">
        <v>135</v>
      </c>
      <c r="G403">
        <v>1</v>
      </c>
      <c r="H403">
        <v>15</v>
      </c>
      <c r="I403">
        <v>35000</v>
      </c>
      <c r="J403">
        <v>0</v>
      </c>
      <c r="K403" t="s">
        <v>420</v>
      </c>
      <c r="L403">
        <v>66</v>
      </c>
      <c r="M403">
        <v>19</v>
      </c>
      <c r="N403">
        <v>1842</v>
      </c>
      <c r="O403">
        <v>33.380000000000003</v>
      </c>
      <c r="P403">
        <v>10</v>
      </c>
      <c r="Q403">
        <v>3500</v>
      </c>
      <c r="R403" t="s">
        <v>96</v>
      </c>
      <c r="S403" s="40">
        <v>46073</v>
      </c>
      <c r="T403">
        <v>37.546604000000002</v>
      </c>
      <c r="U403">
        <v>126.931831</v>
      </c>
      <c r="V403" t="s">
        <v>707</v>
      </c>
      <c r="W403" t="s">
        <v>708</v>
      </c>
      <c r="X403">
        <v>1</v>
      </c>
      <c r="Y403">
        <v>0</v>
      </c>
      <c r="Z403">
        <v>0</v>
      </c>
      <c r="AA403" t="s">
        <v>176</v>
      </c>
      <c r="AB403" t="s">
        <v>709</v>
      </c>
      <c r="AC403">
        <v>35000</v>
      </c>
      <c r="AD403">
        <v>0</v>
      </c>
      <c r="AE403" t="s">
        <v>101</v>
      </c>
      <c r="AF403" t="s">
        <v>481</v>
      </c>
      <c r="AG403" t="s">
        <v>103</v>
      </c>
      <c r="AH403">
        <v>116.39260612259596</v>
      </c>
      <c r="AI403" t="s">
        <v>47</v>
      </c>
      <c r="AJ403" t="s">
        <v>104</v>
      </c>
      <c r="AK403">
        <v>1542.9402267317305</v>
      </c>
      <c r="AL403" t="s">
        <v>105</v>
      </c>
      <c r="AM403" s="41" t="s">
        <v>706</v>
      </c>
      <c r="BB403" t="s">
        <v>127</v>
      </c>
      <c r="BC403">
        <v>1</v>
      </c>
      <c r="BD403">
        <v>0</v>
      </c>
    </row>
    <row r="404" spans="1:56" hidden="1">
      <c r="A404">
        <v>2608875003</v>
      </c>
      <c r="B404">
        <v>1144011400</v>
      </c>
      <c r="C404" t="s">
        <v>134</v>
      </c>
      <c r="D404" t="s">
        <v>0</v>
      </c>
      <c r="E404" t="s">
        <v>94</v>
      </c>
      <c r="F404" t="s">
        <v>135</v>
      </c>
      <c r="G404">
        <v>1</v>
      </c>
      <c r="H404">
        <v>15</v>
      </c>
      <c r="I404">
        <v>35000</v>
      </c>
      <c r="J404">
        <v>0</v>
      </c>
      <c r="K404" t="s">
        <v>420</v>
      </c>
      <c r="L404">
        <v>33</v>
      </c>
      <c r="M404">
        <v>9</v>
      </c>
      <c r="N404">
        <v>3888</v>
      </c>
      <c r="O404">
        <v>33.380000000000003</v>
      </c>
      <c r="P404">
        <v>10</v>
      </c>
      <c r="Q404">
        <v>3500</v>
      </c>
      <c r="R404" t="s">
        <v>96</v>
      </c>
      <c r="S404" s="40">
        <v>46067</v>
      </c>
      <c r="T404">
        <v>37.546604000000002</v>
      </c>
      <c r="U404">
        <v>126.931831</v>
      </c>
      <c r="V404" t="s">
        <v>710</v>
      </c>
      <c r="W404" t="s">
        <v>185</v>
      </c>
      <c r="X404">
        <v>3</v>
      </c>
      <c r="Y404" t="s">
        <v>420</v>
      </c>
      <c r="Z404" t="s">
        <v>420</v>
      </c>
      <c r="AA404" t="s">
        <v>139</v>
      </c>
      <c r="AB404" t="s">
        <v>711</v>
      </c>
      <c r="AC404">
        <v>35000</v>
      </c>
      <c r="AD404">
        <v>0</v>
      </c>
      <c r="AE404" t="s">
        <v>101</v>
      </c>
      <c r="AF404" t="s">
        <v>481</v>
      </c>
      <c r="AG404" t="s">
        <v>103</v>
      </c>
      <c r="AH404">
        <v>116.39260612259596</v>
      </c>
      <c r="AI404" t="s">
        <v>47</v>
      </c>
      <c r="AJ404" t="s">
        <v>104</v>
      </c>
      <c r="AK404">
        <v>1542.9402267317305</v>
      </c>
      <c r="AL404" t="s">
        <v>105</v>
      </c>
      <c r="AM404" s="41" t="s">
        <v>706</v>
      </c>
      <c r="BB404" t="s">
        <v>35</v>
      </c>
      <c r="BD404">
        <v>0</v>
      </c>
    </row>
    <row r="405" spans="1:56" hidden="1">
      <c r="A405">
        <v>2608671521</v>
      </c>
      <c r="B405">
        <v>1144011400</v>
      </c>
      <c r="C405" t="s">
        <v>134</v>
      </c>
      <c r="D405" t="s">
        <v>0</v>
      </c>
      <c r="E405" t="s">
        <v>94</v>
      </c>
      <c r="F405" t="s">
        <v>135</v>
      </c>
      <c r="G405">
        <v>1</v>
      </c>
      <c r="H405">
        <v>15</v>
      </c>
      <c r="I405">
        <v>35000</v>
      </c>
      <c r="J405">
        <v>0</v>
      </c>
      <c r="K405" t="s">
        <v>420</v>
      </c>
      <c r="L405">
        <v>33</v>
      </c>
      <c r="M405">
        <v>9</v>
      </c>
      <c r="N405">
        <v>3888</v>
      </c>
      <c r="O405">
        <v>33.36</v>
      </c>
      <c r="P405">
        <v>10</v>
      </c>
      <c r="Q405">
        <v>3500</v>
      </c>
      <c r="R405" t="s">
        <v>136</v>
      </c>
      <c r="S405" s="40">
        <v>46066</v>
      </c>
      <c r="T405">
        <v>37.546604000000002</v>
      </c>
      <c r="U405">
        <v>126.931831</v>
      </c>
      <c r="V405" t="s">
        <v>712</v>
      </c>
      <c r="W405" t="s">
        <v>551</v>
      </c>
      <c r="X405">
        <v>1</v>
      </c>
      <c r="Y405">
        <v>0</v>
      </c>
      <c r="Z405">
        <v>0</v>
      </c>
      <c r="AA405" t="s">
        <v>176</v>
      </c>
      <c r="AB405" t="s">
        <v>582</v>
      </c>
      <c r="AC405">
        <v>35000</v>
      </c>
      <c r="AD405">
        <v>0</v>
      </c>
      <c r="AE405" t="s">
        <v>101</v>
      </c>
      <c r="AF405" t="s">
        <v>481</v>
      </c>
      <c r="AG405" t="s">
        <v>103</v>
      </c>
      <c r="AH405">
        <v>116.39260612259596</v>
      </c>
      <c r="AI405" t="s">
        <v>47</v>
      </c>
      <c r="AJ405" t="s">
        <v>104</v>
      </c>
      <c r="AK405">
        <v>1542.9402267317305</v>
      </c>
      <c r="AL405" t="s">
        <v>105</v>
      </c>
      <c r="AM405" s="41" t="s">
        <v>706</v>
      </c>
      <c r="BB405" t="s">
        <v>44</v>
      </c>
      <c r="BD405">
        <v>0</v>
      </c>
    </row>
    <row r="406" spans="1:56">
      <c r="A406">
        <v>2611612234</v>
      </c>
      <c r="B406">
        <v>1144012100</v>
      </c>
      <c r="C406" t="s">
        <v>211</v>
      </c>
      <c r="D406" t="s">
        <v>0</v>
      </c>
      <c r="E406" t="s">
        <v>94</v>
      </c>
      <c r="F406" t="s">
        <v>95</v>
      </c>
      <c r="G406">
        <v>1</v>
      </c>
      <c r="H406">
        <v>18</v>
      </c>
      <c r="I406">
        <v>374000</v>
      </c>
      <c r="J406">
        <v>0</v>
      </c>
      <c r="K406" t="s">
        <v>634</v>
      </c>
      <c r="L406">
        <v>224</v>
      </c>
      <c r="M406">
        <v>67</v>
      </c>
      <c r="N406">
        <v>5582</v>
      </c>
      <c r="O406">
        <v>99</v>
      </c>
      <c r="P406">
        <v>29</v>
      </c>
      <c r="Q406">
        <v>12897</v>
      </c>
      <c r="R406" t="s">
        <v>136</v>
      </c>
      <c r="S406" s="40">
        <v>46084</v>
      </c>
      <c r="T406">
        <v>37.556083999999998</v>
      </c>
      <c r="U406">
        <v>126.92345400000001</v>
      </c>
      <c r="V406" t="s">
        <v>635</v>
      </c>
      <c r="W406" t="s">
        <v>636</v>
      </c>
      <c r="X406">
        <v>1</v>
      </c>
      <c r="Y406">
        <v>0</v>
      </c>
      <c r="Z406">
        <v>0</v>
      </c>
      <c r="AA406" t="s">
        <v>99</v>
      </c>
      <c r="AB406" t="s">
        <v>637</v>
      </c>
      <c r="AC406">
        <v>374000</v>
      </c>
      <c r="AD406">
        <v>0</v>
      </c>
      <c r="AE406" t="s">
        <v>101</v>
      </c>
      <c r="AF406" t="s">
        <v>165</v>
      </c>
      <c r="AG406" t="s">
        <v>166</v>
      </c>
      <c r="AH406">
        <v>93.058800607702921</v>
      </c>
      <c r="AI406" t="s">
        <v>47</v>
      </c>
      <c r="AJ406" t="s">
        <v>104</v>
      </c>
      <c r="AK406">
        <v>837.45711531045106</v>
      </c>
      <c r="AL406" t="s">
        <v>105</v>
      </c>
      <c r="AM406" s="41" t="s">
        <v>426</v>
      </c>
      <c r="AN406">
        <f t="shared" ref="AN406:AN407" si="190">IFERROR(VALUE(LEFT($W406,FIND("년",$W406)-1)),"")</f>
        <v>25</v>
      </c>
      <c r="AO406" t="str">
        <f t="shared" ref="AO406:AO407" si="191">IFERROR(IF(FIND("년",$W406)=3,MID($W406,FIND("년",$W406)+1,FIND("년",$W406)-1),MID($W406,FIND("년",$W406)+1,FIND("년",$W406))),"")</f>
        <v>이상</v>
      </c>
      <c r="AP406">
        <f t="shared" ref="AP406:AP407" si="192">IFERROR(IF($AN406&lt;11,10,IF(AND($AN406&lt;26,$AO406="이내"),25,26)),"")</f>
        <v>26</v>
      </c>
      <c r="AQ406">
        <f t="shared" ref="AQ406:AQ407" si="193">IFERROR(IF($P406&lt;10,9,IF($P406&lt;20,10,IF($P406&lt;30,20,IF($P406&lt;40,30,40)))),"")</f>
        <v>20</v>
      </c>
      <c r="AR406" t="str">
        <f t="shared" ref="AR406:AR407" si="194">IFERROR(IF($D406="상가",IF($G406="1","1층",IF($G406="전체층","전체층",IF(LEFT($G406,1)="B","B1",IF($G406&lt;6,"저",IF($G406/$H406&lt;=$BC$9,"저",IF($G406/$H406&lt;=$BC$10,"중","고")))))),IF(LEFT($G406,1)="B","B1",IF($H406&lt;6,"저",IF($G406/$H406&lt;=$BC$2,"저",IF($G406/$H406&lt;=$BC$3,"중","고"))))),"")</f>
        <v>저</v>
      </c>
      <c r="AS406">
        <f>IFERROR(ACOS(SIN(RADIANS(거래사례!$S$11))*SIN(RADIANS($T406))+COS(RADIANS(거래사례!$S$11))*COS(RADIANS($T406))*COS(RADIANS($U406-거래사례!$P$11)))*6371000,"")</f>
        <v>651.49171010077225</v>
      </c>
    </row>
    <row r="407" spans="1:56">
      <c r="A407">
        <v>2611612234</v>
      </c>
      <c r="B407">
        <v>1144012100</v>
      </c>
      <c r="C407" t="s">
        <v>211</v>
      </c>
      <c r="D407" t="s">
        <v>0</v>
      </c>
      <c r="E407" t="s">
        <v>94</v>
      </c>
      <c r="F407" t="s">
        <v>95</v>
      </c>
      <c r="G407">
        <v>1</v>
      </c>
      <c r="H407">
        <v>18</v>
      </c>
      <c r="I407">
        <v>374000</v>
      </c>
      <c r="J407">
        <v>0</v>
      </c>
      <c r="K407" t="s">
        <v>634</v>
      </c>
      <c r="L407">
        <v>224</v>
      </c>
      <c r="M407">
        <v>67</v>
      </c>
      <c r="N407">
        <v>5582</v>
      </c>
      <c r="O407">
        <v>99</v>
      </c>
      <c r="P407">
        <v>29</v>
      </c>
      <c r="Q407">
        <v>12897</v>
      </c>
      <c r="R407" t="s">
        <v>136</v>
      </c>
      <c r="S407" s="40">
        <v>46084</v>
      </c>
      <c r="T407">
        <v>37.556083999999998</v>
      </c>
      <c r="U407">
        <v>126.92345400000001</v>
      </c>
      <c r="V407" t="s">
        <v>635</v>
      </c>
      <c r="W407" t="s">
        <v>636</v>
      </c>
      <c r="X407">
        <v>1</v>
      </c>
      <c r="Y407">
        <v>0</v>
      </c>
      <c r="Z407">
        <v>0</v>
      </c>
      <c r="AA407" t="s">
        <v>99</v>
      </c>
      <c r="AB407" t="s">
        <v>637</v>
      </c>
      <c r="AC407">
        <v>374000</v>
      </c>
      <c r="AD407">
        <v>0</v>
      </c>
      <c r="AE407" t="s">
        <v>101</v>
      </c>
      <c r="AF407" t="s">
        <v>165</v>
      </c>
      <c r="AG407" t="s">
        <v>166</v>
      </c>
      <c r="AH407">
        <v>93.058800607702921</v>
      </c>
      <c r="AI407" t="s">
        <v>47</v>
      </c>
      <c r="AJ407" t="s">
        <v>104</v>
      </c>
      <c r="AK407">
        <v>837.45711531045106</v>
      </c>
      <c r="AL407" t="s">
        <v>105</v>
      </c>
      <c r="AM407" s="41" t="s">
        <v>426</v>
      </c>
      <c r="AN407">
        <f t="shared" si="190"/>
        <v>25</v>
      </c>
      <c r="AO407" t="str">
        <f t="shared" si="191"/>
        <v>이상</v>
      </c>
      <c r="AP407">
        <f t="shared" si="192"/>
        <v>26</v>
      </c>
      <c r="AQ407">
        <f t="shared" si="193"/>
        <v>20</v>
      </c>
      <c r="AR407" t="str">
        <f t="shared" si="194"/>
        <v>저</v>
      </c>
      <c r="AS407">
        <f>IFERROR(ACOS(SIN(RADIANS(거래사례!$S$11))*SIN(RADIANS($T407))+COS(RADIANS(거래사례!$S$11))*COS(RADIANS($T407))*COS(RADIANS($U407-거래사례!$P$11)))*6371000,"")</f>
        <v>651.49171010077225</v>
      </c>
    </row>
    <row r="408" spans="1:56" hidden="1">
      <c r="A408">
        <v>2606994862</v>
      </c>
      <c r="B408">
        <v>1144011400</v>
      </c>
      <c r="C408" t="s">
        <v>134</v>
      </c>
      <c r="D408" t="s">
        <v>0</v>
      </c>
      <c r="E408" t="s">
        <v>94</v>
      </c>
      <c r="F408" t="s">
        <v>135</v>
      </c>
      <c r="G408">
        <v>2</v>
      </c>
      <c r="H408">
        <v>2</v>
      </c>
      <c r="I408">
        <v>55000</v>
      </c>
      <c r="J408">
        <v>0</v>
      </c>
      <c r="K408" t="s">
        <v>528</v>
      </c>
      <c r="L408">
        <v>63</v>
      </c>
      <c r="M408">
        <v>19</v>
      </c>
      <c r="N408">
        <v>2894</v>
      </c>
      <c r="O408">
        <v>49</v>
      </c>
      <c r="P408">
        <v>14</v>
      </c>
      <c r="Q408">
        <v>3929</v>
      </c>
      <c r="R408" t="s">
        <v>145</v>
      </c>
      <c r="S408" s="40">
        <v>46058</v>
      </c>
      <c r="T408">
        <v>37.548369000000001</v>
      </c>
      <c r="U408">
        <v>126.92944799999999</v>
      </c>
      <c r="V408" t="s">
        <v>478</v>
      </c>
      <c r="W408" t="s">
        <v>479</v>
      </c>
      <c r="X408">
        <v>1</v>
      </c>
      <c r="Y408">
        <v>0</v>
      </c>
      <c r="Z408">
        <v>0</v>
      </c>
      <c r="AA408" t="s">
        <v>176</v>
      </c>
      <c r="AB408" t="s">
        <v>480</v>
      </c>
      <c r="AC408">
        <v>55000</v>
      </c>
      <c r="AD408">
        <v>0</v>
      </c>
      <c r="AE408" t="s">
        <v>101</v>
      </c>
      <c r="AF408" t="s">
        <v>481</v>
      </c>
      <c r="AG408" t="s">
        <v>103</v>
      </c>
      <c r="AH408">
        <v>353.10489569662644</v>
      </c>
      <c r="AI408" t="s">
        <v>47</v>
      </c>
      <c r="AJ408" t="s">
        <v>104</v>
      </c>
      <c r="AK408">
        <v>1239.2769741190828</v>
      </c>
      <c r="AL408" t="s">
        <v>105</v>
      </c>
      <c r="AM408" s="41" t="s">
        <v>482</v>
      </c>
    </row>
    <row r="409" spans="1:56" hidden="1">
      <c r="A409">
        <v>2611667491</v>
      </c>
      <c r="B409">
        <v>1144011700</v>
      </c>
      <c r="C409" t="s">
        <v>134</v>
      </c>
      <c r="D409" t="s">
        <v>0</v>
      </c>
      <c r="E409" t="s">
        <v>94</v>
      </c>
      <c r="F409" t="s">
        <v>135</v>
      </c>
      <c r="G409">
        <v>1</v>
      </c>
      <c r="H409">
        <v>3</v>
      </c>
      <c r="I409">
        <v>32000</v>
      </c>
      <c r="J409">
        <v>0</v>
      </c>
      <c r="K409" t="s">
        <v>291</v>
      </c>
      <c r="L409">
        <v>26</v>
      </c>
      <c r="M409">
        <v>7</v>
      </c>
      <c r="N409">
        <v>4571</v>
      </c>
      <c r="O409">
        <v>26.46</v>
      </c>
      <c r="P409">
        <v>8</v>
      </c>
      <c r="Q409">
        <v>4000</v>
      </c>
      <c r="R409" t="s">
        <v>136</v>
      </c>
      <c r="S409" s="40">
        <v>46084</v>
      </c>
      <c r="T409">
        <v>37.543982999999997</v>
      </c>
      <c r="U409">
        <v>126.931101</v>
      </c>
      <c r="V409" t="s">
        <v>718</v>
      </c>
      <c r="W409" t="s">
        <v>156</v>
      </c>
      <c r="X409">
        <v>1</v>
      </c>
      <c r="Y409">
        <v>0</v>
      </c>
      <c r="Z409">
        <v>0</v>
      </c>
      <c r="AA409" t="s">
        <v>176</v>
      </c>
      <c r="AB409" t="s">
        <v>599</v>
      </c>
      <c r="AC409">
        <v>32000</v>
      </c>
      <c r="AD409">
        <v>0</v>
      </c>
      <c r="AE409" t="s">
        <v>101</v>
      </c>
      <c r="AF409" t="s">
        <v>481</v>
      </c>
      <c r="AG409" t="s">
        <v>103</v>
      </c>
      <c r="AH409">
        <v>412.77409844393799</v>
      </c>
      <c r="AI409" t="s">
        <v>47</v>
      </c>
      <c r="AJ409" t="s">
        <v>104</v>
      </c>
      <c r="AK409">
        <v>1574.4953859928955</v>
      </c>
      <c r="AL409" t="s">
        <v>105</v>
      </c>
      <c r="AM409" s="41" t="s">
        <v>702</v>
      </c>
    </row>
    <row r="410" spans="1:56" hidden="1">
      <c r="A410">
        <v>2611212904</v>
      </c>
      <c r="B410">
        <v>1144011700</v>
      </c>
      <c r="C410" t="s">
        <v>134</v>
      </c>
      <c r="D410" t="s">
        <v>0</v>
      </c>
      <c r="E410" t="s">
        <v>94</v>
      </c>
      <c r="F410" t="s">
        <v>135</v>
      </c>
      <c r="G410">
        <v>1</v>
      </c>
      <c r="H410">
        <v>3</v>
      </c>
      <c r="I410">
        <v>32000</v>
      </c>
      <c r="J410">
        <v>0</v>
      </c>
      <c r="K410" t="s">
        <v>291</v>
      </c>
      <c r="L410">
        <v>38</v>
      </c>
      <c r="M410">
        <v>11</v>
      </c>
      <c r="N410">
        <v>2909</v>
      </c>
      <c r="O410">
        <v>26.46</v>
      </c>
      <c r="P410">
        <v>8</v>
      </c>
      <c r="Q410">
        <v>4000</v>
      </c>
      <c r="R410" t="s">
        <v>136</v>
      </c>
      <c r="S410" s="40">
        <v>46081</v>
      </c>
      <c r="T410">
        <v>37.543982999999997</v>
      </c>
      <c r="U410">
        <v>126.931101</v>
      </c>
      <c r="V410" t="s">
        <v>719</v>
      </c>
      <c r="W410" t="s">
        <v>156</v>
      </c>
      <c r="X410">
        <v>1</v>
      </c>
      <c r="Y410">
        <v>0</v>
      </c>
      <c r="Z410">
        <v>0</v>
      </c>
      <c r="AA410" t="s">
        <v>176</v>
      </c>
      <c r="AB410" t="s">
        <v>592</v>
      </c>
      <c r="AC410">
        <v>32000</v>
      </c>
      <c r="AD410">
        <v>0</v>
      </c>
      <c r="AE410" t="s">
        <v>101</v>
      </c>
      <c r="AF410" t="s">
        <v>481</v>
      </c>
      <c r="AG410" t="s">
        <v>103</v>
      </c>
      <c r="AH410">
        <v>412.77409844393799</v>
      </c>
      <c r="AI410" t="s">
        <v>47</v>
      </c>
      <c r="AJ410" t="s">
        <v>104</v>
      </c>
      <c r="AK410">
        <v>1574.4953859928955</v>
      </c>
      <c r="AL410" t="s">
        <v>105</v>
      </c>
      <c r="AM410" s="41" t="s">
        <v>702</v>
      </c>
    </row>
    <row r="411" spans="1:56" hidden="1">
      <c r="A411">
        <v>2611238588</v>
      </c>
      <c r="B411">
        <v>1144011700</v>
      </c>
      <c r="C411" t="s">
        <v>134</v>
      </c>
      <c r="D411" t="s">
        <v>0</v>
      </c>
      <c r="E411" t="s">
        <v>94</v>
      </c>
      <c r="F411" t="s">
        <v>135</v>
      </c>
      <c r="G411" t="s">
        <v>3</v>
      </c>
      <c r="H411">
        <v>3</v>
      </c>
      <c r="I411">
        <v>32000</v>
      </c>
      <c r="J411">
        <v>0</v>
      </c>
      <c r="K411" t="s">
        <v>291</v>
      </c>
      <c r="L411">
        <v>52</v>
      </c>
      <c r="M411">
        <v>15</v>
      </c>
      <c r="N411">
        <v>2133</v>
      </c>
      <c r="O411">
        <v>26.46</v>
      </c>
      <c r="P411">
        <v>8</v>
      </c>
      <c r="Q411">
        <v>4000</v>
      </c>
      <c r="R411" t="s">
        <v>161</v>
      </c>
      <c r="S411" s="40">
        <v>46081</v>
      </c>
      <c r="T411">
        <v>37.543982999999997</v>
      </c>
      <c r="U411">
        <v>126.931101</v>
      </c>
      <c r="V411" t="s">
        <v>720</v>
      </c>
      <c r="W411" t="s">
        <v>721</v>
      </c>
      <c r="X411">
        <v>1</v>
      </c>
      <c r="Y411">
        <v>0</v>
      </c>
      <c r="Z411">
        <v>0</v>
      </c>
      <c r="AA411" t="s">
        <v>176</v>
      </c>
      <c r="AB411" t="s">
        <v>722</v>
      </c>
      <c r="AC411">
        <v>32000</v>
      </c>
      <c r="AD411">
        <v>0</v>
      </c>
      <c r="AE411" t="s">
        <v>101</v>
      </c>
      <c r="AF411" t="s">
        <v>481</v>
      </c>
      <c r="AG411" t="s">
        <v>103</v>
      </c>
      <c r="AH411">
        <v>412.77409844393799</v>
      </c>
      <c r="AI411" t="s">
        <v>47</v>
      </c>
      <c r="AJ411" t="s">
        <v>104</v>
      </c>
      <c r="AK411">
        <v>1574.4953859928955</v>
      </c>
      <c r="AL411" t="s">
        <v>105</v>
      </c>
      <c r="AM411" s="41" t="s">
        <v>702</v>
      </c>
    </row>
    <row r="412" spans="1:56" hidden="1">
      <c r="A412">
        <v>2611280514</v>
      </c>
      <c r="B412">
        <v>1144011700</v>
      </c>
      <c r="C412" t="s">
        <v>134</v>
      </c>
      <c r="D412" t="s">
        <v>0</v>
      </c>
      <c r="E412" t="s">
        <v>94</v>
      </c>
      <c r="F412" t="s">
        <v>135</v>
      </c>
      <c r="G412">
        <v>1</v>
      </c>
      <c r="H412">
        <v>3</v>
      </c>
      <c r="I412">
        <v>32000</v>
      </c>
      <c r="J412">
        <v>0</v>
      </c>
      <c r="K412" t="s">
        <v>291</v>
      </c>
      <c r="L412">
        <v>38</v>
      </c>
      <c r="M412">
        <v>11</v>
      </c>
      <c r="N412">
        <v>2909</v>
      </c>
      <c r="O412">
        <v>26.46</v>
      </c>
      <c r="P412">
        <v>8</v>
      </c>
      <c r="Q412">
        <v>4000</v>
      </c>
      <c r="R412" t="s">
        <v>96</v>
      </c>
      <c r="S412" s="40">
        <v>46081</v>
      </c>
      <c r="T412">
        <v>37.543982999999997</v>
      </c>
      <c r="U412">
        <v>126.931101</v>
      </c>
      <c r="V412" t="s">
        <v>723</v>
      </c>
      <c r="W412" t="s">
        <v>284</v>
      </c>
      <c r="X412">
        <v>1</v>
      </c>
      <c r="Y412">
        <v>0</v>
      </c>
      <c r="Z412">
        <v>0</v>
      </c>
      <c r="AA412" t="s">
        <v>113</v>
      </c>
      <c r="AB412" t="s">
        <v>724</v>
      </c>
      <c r="AC412">
        <v>32000</v>
      </c>
      <c r="AD412">
        <v>0</v>
      </c>
      <c r="AE412" t="s">
        <v>101</v>
      </c>
      <c r="AF412" t="s">
        <v>481</v>
      </c>
      <c r="AG412" t="s">
        <v>103</v>
      </c>
      <c r="AH412">
        <v>412.77409844393799</v>
      </c>
      <c r="AI412" t="s">
        <v>47</v>
      </c>
      <c r="AJ412" t="s">
        <v>104</v>
      </c>
      <c r="AK412">
        <v>1574.4953859928955</v>
      </c>
      <c r="AL412" t="s">
        <v>105</v>
      </c>
      <c r="AM412" s="41" t="s">
        <v>702</v>
      </c>
    </row>
    <row r="413" spans="1:56" hidden="1">
      <c r="A413">
        <v>2610784959</v>
      </c>
      <c r="B413">
        <v>1144011700</v>
      </c>
      <c r="C413" t="s">
        <v>134</v>
      </c>
      <c r="D413" t="s">
        <v>0</v>
      </c>
      <c r="E413" t="s">
        <v>94</v>
      </c>
      <c r="F413" t="s">
        <v>135</v>
      </c>
      <c r="G413">
        <v>1</v>
      </c>
      <c r="H413">
        <v>3</v>
      </c>
      <c r="I413">
        <v>32000</v>
      </c>
      <c r="J413">
        <v>0</v>
      </c>
      <c r="K413" t="s">
        <v>291</v>
      </c>
      <c r="L413">
        <v>26</v>
      </c>
      <c r="M413">
        <v>7</v>
      </c>
      <c r="N413">
        <v>4571</v>
      </c>
      <c r="O413">
        <v>26.46</v>
      </c>
      <c r="P413">
        <v>8</v>
      </c>
      <c r="Q413">
        <v>4000</v>
      </c>
      <c r="R413" t="s">
        <v>154</v>
      </c>
      <c r="S413" s="40">
        <v>46079</v>
      </c>
      <c r="T413">
        <v>37.543982999999997</v>
      </c>
      <c r="U413">
        <v>126.931101</v>
      </c>
      <c r="V413" t="s">
        <v>725</v>
      </c>
      <c r="W413" t="s">
        <v>156</v>
      </c>
      <c r="X413">
        <v>2</v>
      </c>
      <c r="Y413" t="s">
        <v>291</v>
      </c>
      <c r="Z413" t="s">
        <v>291</v>
      </c>
      <c r="AA413" t="s">
        <v>176</v>
      </c>
      <c r="AB413" t="s">
        <v>726</v>
      </c>
      <c r="AC413">
        <v>32000</v>
      </c>
      <c r="AD413">
        <v>0</v>
      </c>
      <c r="AE413" t="s">
        <v>101</v>
      </c>
      <c r="AF413" t="s">
        <v>481</v>
      </c>
      <c r="AG413" t="s">
        <v>103</v>
      </c>
      <c r="AH413">
        <v>412.77409844393799</v>
      </c>
      <c r="AI413" t="s">
        <v>47</v>
      </c>
      <c r="AJ413" t="s">
        <v>104</v>
      </c>
      <c r="AK413">
        <v>1574.4953859928955</v>
      </c>
      <c r="AL413" t="s">
        <v>105</v>
      </c>
      <c r="AM413" s="41" t="s">
        <v>702</v>
      </c>
    </row>
    <row r="414" spans="1:56" hidden="1">
      <c r="A414">
        <v>2610434258</v>
      </c>
      <c r="B414">
        <v>1144011700</v>
      </c>
      <c r="C414" t="s">
        <v>93</v>
      </c>
      <c r="D414" t="s">
        <v>0</v>
      </c>
      <c r="E414" t="s">
        <v>94</v>
      </c>
      <c r="F414" t="s">
        <v>119</v>
      </c>
      <c r="G414">
        <v>1</v>
      </c>
      <c r="H414">
        <v>3</v>
      </c>
      <c r="I414">
        <v>32000</v>
      </c>
      <c r="J414">
        <v>0</v>
      </c>
      <c r="K414" t="s">
        <v>291</v>
      </c>
      <c r="L414">
        <v>38</v>
      </c>
      <c r="M414">
        <v>11</v>
      </c>
      <c r="N414">
        <v>2909</v>
      </c>
      <c r="O414">
        <v>26.46</v>
      </c>
      <c r="P414">
        <v>8</v>
      </c>
      <c r="Q414">
        <v>4000</v>
      </c>
      <c r="R414" t="s">
        <v>154</v>
      </c>
      <c r="S414" s="40">
        <v>46077</v>
      </c>
      <c r="T414">
        <v>37.543982999999997</v>
      </c>
      <c r="U414">
        <v>126.931101</v>
      </c>
      <c r="V414" t="s">
        <v>727</v>
      </c>
      <c r="W414" t="s">
        <v>728</v>
      </c>
      <c r="X414">
        <v>1</v>
      </c>
      <c r="Y414">
        <v>0</v>
      </c>
      <c r="Z414">
        <v>0</v>
      </c>
      <c r="AA414" t="s">
        <v>124</v>
      </c>
      <c r="AB414" t="s">
        <v>729</v>
      </c>
      <c r="AC414">
        <v>32000</v>
      </c>
      <c r="AD414">
        <v>0</v>
      </c>
      <c r="AE414" t="s">
        <v>101</v>
      </c>
      <c r="AF414" t="s">
        <v>481</v>
      </c>
      <c r="AG414" t="s">
        <v>103</v>
      </c>
      <c r="AH414">
        <v>412.77409844393799</v>
      </c>
      <c r="AI414" t="s">
        <v>47</v>
      </c>
      <c r="AJ414" t="s">
        <v>104</v>
      </c>
      <c r="AK414">
        <v>1574.4953859928955</v>
      </c>
      <c r="AL414" t="s">
        <v>105</v>
      </c>
      <c r="AM414" s="41" t="s">
        <v>702</v>
      </c>
    </row>
    <row r="415" spans="1:56" hidden="1">
      <c r="A415">
        <v>2609691016</v>
      </c>
      <c r="B415">
        <v>1144011700</v>
      </c>
      <c r="C415" t="s">
        <v>134</v>
      </c>
      <c r="D415" t="s">
        <v>0</v>
      </c>
      <c r="E415" t="s">
        <v>94</v>
      </c>
      <c r="F415" t="s">
        <v>108</v>
      </c>
      <c r="G415">
        <v>1</v>
      </c>
      <c r="H415">
        <v>3</v>
      </c>
      <c r="I415">
        <v>35000</v>
      </c>
      <c r="J415">
        <v>0</v>
      </c>
      <c r="K415" t="s">
        <v>420</v>
      </c>
      <c r="L415">
        <v>52</v>
      </c>
      <c r="M415">
        <v>15</v>
      </c>
      <c r="N415">
        <v>2333</v>
      </c>
      <c r="O415">
        <v>26.46</v>
      </c>
      <c r="P415">
        <v>8</v>
      </c>
      <c r="Q415">
        <v>4375</v>
      </c>
      <c r="R415" t="s">
        <v>136</v>
      </c>
      <c r="S415" s="40">
        <v>46073</v>
      </c>
      <c r="T415">
        <v>37.543984000000002</v>
      </c>
      <c r="U415">
        <v>126.931102</v>
      </c>
      <c r="V415" t="s">
        <v>730</v>
      </c>
      <c r="W415" t="s">
        <v>731</v>
      </c>
      <c r="X415">
        <v>1</v>
      </c>
      <c r="Y415">
        <v>0</v>
      </c>
      <c r="Z415">
        <v>0</v>
      </c>
      <c r="AA415" t="s">
        <v>176</v>
      </c>
      <c r="AB415" t="s">
        <v>709</v>
      </c>
      <c r="AC415">
        <v>35000</v>
      </c>
      <c r="AD415">
        <v>0</v>
      </c>
      <c r="AE415" t="s">
        <v>101</v>
      </c>
      <c r="AF415" t="s">
        <v>481</v>
      </c>
      <c r="AG415" t="s">
        <v>103</v>
      </c>
      <c r="AH415">
        <v>412.62942820025609</v>
      </c>
      <c r="AI415" t="s">
        <v>47</v>
      </c>
      <c r="AJ415" t="s">
        <v>104</v>
      </c>
      <c r="AK415">
        <v>1574.5438822422552</v>
      </c>
      <c r="AL415" t="s">
        <v>105</v>
      </c>
      <c r="AM415" s="41" t="s">
        <v>702</v>
      </c>
    </row>
    <row r="416" spans="1:56" hidden="1">
      <c r="A416">
        <v>2607163059</v>
      </c>
      <c r="B416">
        <v>1144011700</v>
      </c>
      <c r="C416" t="s">
        <v>134</v>
      </c>
      <c r="D416" t="s">
        <v>0</v>
      </c>
      <c r="E416" t="s">
        <v>94</v>
      </c>
      <c r="F416" t="s">
        <v>135</v>
      </c>
      <c r="G416">
        <v>1</v>
      </c>
      <c r="H416">
        <v>3</v>
      </c>
      <c r="I416">
        <v>32000</v>
      </c>
      <c r="J416">
        <v>0</v>
      </c>
      <c r="K416" t="s">
        <v>291</v>
      </c>
      <c r="L416">
        <v>38</v>
      </c>
      <c r="M416">
        <v>11</v>
      </c>
      <c r="N416">
        <v>2909</v>
      </c>
      <c r="O416">
        <v>26</v>
      </c>
      <c r="P416">
        <v>7</v>
      </c>
      <c r="Q416">
        <v>4571</v>
      </c>
      <c r="S416" s="40">
        <v>46058</v>
      </c>
      <c r="T416">
        <v>37.543984000000002</v>
      </c>
      <c r="U416">
        <v>126.931102</v>
      </c>
      <c r="V416" t="s">
        <v>732</v>
      </c>
      <c r="W416" t="s">
        <v>156</v>
      </c>
      <c r="X416">
        <v>1</v>
      </c>
      <c r="Y416">
        <v>0</v>
      </c>
      <c r="Z416">
        <v>0</v>
      </c>
      <c r="AA416" t="s">
        <v>176</v>
      </c>
      <c r="AB416" t="s">
        <v>733</v>
      </c>
      <c r="AC416">
        <v>32000</v>
      </c>
      <c r="AD416">
        <v>0</v>
      </c>
      <c r="AE416" t="s">
        <v>101</v>
      </c>
      <c r="AF416" t="s">
        <v>481</v>
      </c>
      <c r="AG416" t="s">
        <v>103</v>
      </c>
      <c r="AH416">
        <v>412.62942820025609</v>
      </c>
      <c r="AI416" t="s">
        <v>47</v>
      </c>
      <c r="AJ416" t="s">
        <v>104</v>
      </c>
      <c r="AK416">
        <v>1574.5438822422552</v>
      </c>
      <c r="AL416" t="s">
        <v>105</v>
      </c>
      <c r="AM416" s="41" t="s">
        <v>702</v>
      </c>
    </row>
    <row r="417" spans="1:45" hidden="1">
      <c r="A417">
        <v>2606718736</v>
      </c>
      <c r="B417">
        <v>1144011700</v>
      </c>
      <c r="C417" t="s">
        <v>134</v>
      </c>
      <c r="D417" t="s">
        <v>0</v>
      </c>
      <c r="E417" t="s">
        <v>94</v>
      </c>
      <c r="F417" t="s">
        <v>95</v>
      </c>
      <c r="G417">
        <v>1</v>
      </c>
      <c r="H417">
        <v>3</v>
      </c>
      <c r="I417">
        <v>32000</v>
      </c>
      <c r="J417">
        <v>0</v>
      </c>
      <c r="K417" t="s">
        <v>291</v>
      </c>
      <c r="L417">
        <v>38</v>
      </c>
      <c r="M417">
        <v>11</v>
      </c>
      <c r="N417">
        <v>2909</v>
      </c>
      <c r="O417">
        <v>26.4</v>
      </c>
      <c r="P417">
        <v>7</v>
      </c>
      <c r="Q417">
        <v>4571</v>
      </c>
      <c r="R417" t="s">
        <v>154</v>
      </c>
      <c r="S417" s="40">
        <v>46056</v>
      </c>
      <c r="T417">
        <v>37.543984000000002</v>
      </c>
      <c r="U417">
        <v>126.931102</v>
      </c>
      <c r="V417" t="s">
        <v>734</v>
      </c>
      <c r="W417" t="s">
        <v>284</v>
      </c>
      <c r="X417">
        <v>1</v>
      </c>
      <c r="Y417">
        <v>0</v>
      </c>
      <c r="Z417">
        <v>0</v>
      </c>
      <c r="AA417" t="s">
        <v>99</v>
      </c>
      <c r="AB417" t="s">
        <v>729</v>
      </c>
      <c r="AC417">
        <v>32000</v>
      </c>
      <c r="AD417">
        <v>0</v>
      </c>
      <c r="AE417" t="s">
        <v>101</v>
      </c>
      <c r="AF417" t="s">
        <v>481</v>
      </c>
      <c r="AG417" t="s">
        <v>103</v>
      </c>
      <c r="AH417">
        <v>412.62942820025609</v>
      </c>
      <c r="AI417" t="s">
        <v>47</v>
      </c>
      <c r="AJ417" t="s">
        <v>104</v>
      </c>
      <c r="AK417">
        <v>1574.5438822422552</v>
      </c>
      <c r="AL417" t="s">
        <v>105</v>
      </c>
      <c r="AM417" s="41" t="s">
        <v>702</v>
      </c>
    </row>
    <row r="418" spans="1:45">
      <c r="A418">
        <v>2611612234</v>
      </c>
      <c r="B418">
        <v>1144012100</v>
      </c>
      <c r="C418" t="s">
        <v>211</v>
      </c>
      <c r="D418" t="s">
        <v>0</v>
      </c>
      <c r="E418" t="s">
        <v>94</v>
      </c>
      <c r="F418" t="s">
        <v>95</v>
      </c>
      <c r="G418">
        <v>1</v>
      </c>
      <c r="H418">
        <v>18</v>
      </c>
      <c r="I418">
        <v>374000</v>
      </c>
      <c r="J418">
        <v>0</v>
      </c>
      <c r="K418" t="s">
        <v>634</v>
      </c>
      <c r="L418">
        <v>224</v>
      </c>
      <c r="M418">
        <v>67</v>
      </c>
      <c r="N418">
        <v>5582</v>
      </c>
      <c r="O418">
        <v>99</v>
      </c>
      <c r="P418">
        <v>29</v>
      </c>
      <c r="Q418">
        <v>12897</v>
      </c>
      <c r="R418" t="s">
        <v>136</v>
      </c>
      <c r="S418" s="40">
        <v>46084</v>
      </c>
      <c r="T418">
        <v>37.556083999999998</v>
      </c>
      <c r="U418">
        <v>126.92345400000001</v>
      </c>
      <c r="V418" t="s">
        <v>635</v>
      </c>
      <c r="W418" t="s">
        <v>636</v>
      </c>
      <c r="X418">
        <v>1</v>
      </c>
      <c r="Y418">
        <v>0</v>
      </c>
      <c r="Z418">
        <v>0</v>
      </c>
      <c r="AA418" t="s">
        <v>99</v>
      </c>
      <c r="AB418" t="s">
        <v>637</v>
      </c>
      <c r="AC418">
        <v>374000</v>
      </c>
      <c r="AD418">
        <v>0</v>
      </c>
      <c r="AE418" t="s">
        <v>101</v>
      </c>
      <c r="AF418" t="s">
        <v>165</v>
      </c>
      <c r="AG418" t="s">
        <v>166</v>
      </c>
      <c r="AH418">
        <v>93.058800607702921</v>
      </c>
      <c r="AI418" t="s">
        <v>47</v>
      </c>
      <c r="AJ418" t="s">
        <v>104</v>
      </c>
      <c r="AK418">
        <v>837.45711531045106</v>
      </c>
      <c r="AL418" t="s">
        <v>105</v>
      </c>
      <c r="AM418" s="41" t="s">
        <v>426</v>
      </c>
      <c r="AN418">
        <f t="shared" ref="AN418:AN419" si="195">IFERROR(VALUE(LEFT($W418,FIND("년",$W418)-1)),"")</f>
        <v>25</v>
      </c>
      <c r="AO418" t="str">
        <f t="shared" ref="AO418:AO419" si="196">IFERROR(IF(FIND("년",$W418)=3,MID($W418,FIND("년",$W418)+1,FIND("년",$W418)-1),MID($W418,FIND("년",$W418)+1,FIND("년",$W418))),"")</f>
        <v>이상</v>
      </c>
      <c r="AP418">
        <f t="shared" ref="AP418:AP419" si="197">IFERROR(IF($AN418&lt;11,10,IF(AND($AN418&lt;26,$AO418="이내"),25,26)),"")</f>
        <v>26</v>
      </c>
      <c r="AQ418">
        <f t="shared" ref="AQ418:AQ419" si="198">IFERROR(IF($P418&lt;10,9,IF($P418&lt;20,10,IF($P418&lt;30,20,IF($P418&lt;40,30,40)))),"")</f>
        <v>20</v>
      </c>
      <c r="AR418" t="str">
        <f t="shared" ref="AR418:AR419" si="199">IFERROR(IF($D418="상가",IF($G418="1","1층",IF($G418="전체층","전체층",IF(LEFT($G418,1)="B","B1",IF($G418&lt;6,"저",IF($G418/$H418&lt;=$BC$9,"저",IF($G418/$H418&lt;=$BC$10,"중","고")))))),IF(LEFT($G418,1)="B","B1",IF($H418&lt;6,"저",IF($G418/$H418&lt;=$BC$2,"저",IF($G418/$H418&lt;=$BC$3,"중","고"))))),"")</f>
        <v>저</v>
      </c>
      <c r="AS418">
        <f>IFERROR(ACOS(SIN(RADIANS(거래사례!$S$11))*SIN(RADIANS($T418))+COS(RADIANS(거래사례!$S$11))*COS(RADIANS($T418))*COS(RADIANS($U418-거래사례!$P$11)))*6371000,"")</f>
        <v>651.49171010077225</v>
      </c>
    </row>
    <row r="419" spans="1:45">
      <c r="A419">
        <v>2607750356</v>
      </c>
      <c r="B419">
        <v>1141011600</v>
      </c>
      <c r="C419" t="s">
        <v>93</v>
      </c>
      <c r="D419" t="s">
        <v>0</v>
      </c>
      <c r="E419" t="s">
        <v>94</v>
      </c>
      <c r="F419" t="s">
        <v>119</v>
      </c>
      <c r="G419">
        <v>1</v>
      </c>
      <c r="H419">
        <v>15</v>
      </c>
      <c r="I419">
        <v>850000</v>
      </c>
      <c r="J419">
        <v>0</v>
      </c>
      <c r="K419" t="s">
        <v>638</v>
      </c>
      <c r="L419">
        <v>385</v>
      </c>
      <c r="M419">
        <v>116</v>
      </c>
      <c r="N419">
        <v>7327</v>
      </c>
      <c r="O419">
        <v>214.07</v>
      </c>
      <c r="P419">
        <v>64</v>
      </c>
      <c r="Q419">
        <v>13281</v>
      </c>
      <c r="R419" t="s">
        <v>136</v>
      </c>
      <c r="S419" s="40">
        <v>46062</v>
      </c>
      <c r="T419">
        <v>37.556063999999999</v>
      </c>
      <c r="U419">
        <v>126.93825</v>
      </c>
      <c r="V419" t="s">
        <v>639</v>
      </c>
      <c r="W419" t="s">
        <v>470</v>
      </c>
      <c r="X419">
        <v>1</v>
      </c>
      <c r="Y419">
        <v>0</v>
      </c>
      <c r="Z419">
        <v>0</v>
      </c>
      <c r="AA419" t="s">
        <v>124</v>
      </c>
      <c r="AB419" t="s">
        <v>451</v>
      </c>
      <c r="AC419">
        <v>850000</v>
      </c>
      <c r="AD419">
        <v>0</v>
      </c>
      <c r="AE419" t="s">
        <v>101</v>
      </c>
      <c r="AF419" t="s">
        <v>436</v>
      </c>
      <c r="AG419" t="s">
        <v>437</v>
      </c>
      <c r="AH419">
        <v>172.70504045212317</v>
      </c>
      <c r="AI419" t="s">
        <v>48</v>
      </c>
      <c r="AJ419" t="s">
        <v>104</v>
      </c>
      <c r="AK419">
        <v>639.01446691631702</v>
      </c>
      <c r="AL419" t="s">
        <v>105</v>
      </c>
      <c r="AM419" s="41" t="s">
        <v>438</v>
      </c>
      <c r="AN419">
        <f t="shared" si="195"/>
        <v>25</v>
      </c>
      <c r="AO419" t="str">
        <f t="shared" si="196"/>
        <v>이내</v>
      </c>
      <c r="AP419">
        <f t="shared" si="197"/>
        <v>25</v>
      </c>
      <c r="AQ419">
        <f t="shared" si="198"/>
        <v>40</v>
      </c>
      <c r="AR419" t="str">
        <f t="shared" si="199"/>
        <v>저</v>
      </c>
      <c r="AS419">
        <f>IFERROR(ACOS(SIN(RADIANS(거래사례!$S$11))*SIN(RADIANS($T419))+COS(RADIANS(거래사례!$S$11))*COS(RADIANS($T419))*COS(RADIANS($U419-거래사례!$P$11)))*6371000,"")</f>
        <v>902.04969442290553</v>
      </c>
    </row>
    <row r="420" spans="1:45" hidden="1">
      <c r="A420">
        <v>2610882783</v>
      </c>
      <c r="B420">
        <v>1144012000</v>
      </c>
      <c r="C420" t="s">
        <v>134</v>
      </c>
      <c r="D420" t="s">
        <v>0</v>
      </c>
      <c r="E420" t="s">
        <v>94</v>
      </c>
      <c r="F420" t="s">
        <v>135</v>
      </c>
      <c r="G420" t="s">
        <v>35</v>
      </c>
      <c r="H420">
        <v>19</v>
      </c>
      <c r="I420">
        <v>34000</v>
      </c>
      <c r="J420">
        <v>0</v>
      </c>
      <c r="K420" t="s">
        <v>179</v>
      </c>
      <c r="L420">
        <v>45</v>
      </c>
      <c r="M420">
        <v>13</v>
      </c>
      <c r="N420">
        <v>2615</v>
      </c>
      <c r="O420">
        <v>25.66</v>
      </c>
      <c r="P420">
        <v>7</v>
      </c>
      <c r="Q420">
        <v>4857</v>
      </c>
      <c r="R420" t="s">
        <v>161</v>
      </c>
      <c r="S420" s="40">
        <v>46079</v>
      </c>
      <c r="T420">
        <v>37.553798999999998</v>
      </c>
      <c r="U420">
        <v>126.92370099999999</v>
      </c>
      <c r="V420" t="s">
        <v>260</v>
      </c>
      <c r="W420" t="s">
        <v>261</v>
      </c>
      <c r="X420">
        <v>1</v>
      </c>
      <c r="Y420">
        <v>0</v>
      </c>
      <c r="Z420">
        <v>0</v>
      </c>
      <c r="AA420" t="s">
        <v>222</v>
      </c>
      <c r="AB420" t="s">
        <v>255</v>
      </c>
      <c r="AC420">
        <v>34000</v>
      </c>
      <c r="AD420">
        <v>0</v>
      </c>
      <c r="AE420" t="s">
        <v>101</v>
      </c>
      <c r="AF420" t="s">
        <v>165</v>
      </c>
      <c r="AG420" t="s">
        <v>166</v>
      </c>
      <c r="AH420">
        <v>344.14694489895248</v>
      </c>
      <c r="AI420" t="s">
        <v>47</v>
      </c>
      <c r="AJ420" t="s">
        <v>104</v>
      </c>
      <c r="AK420">
        <v>690.06417067304881</v>
      </c>
      <c r="AL420" t="s">
        <v>105</v>
      </c>
      <c r="AM420" s="41" t="s">
        <v>167</v>
      </c>
    </row>
    <row r="421" spans="1:45" hidden="1">
      <c r="A421">
        <v>2609957730</v>
      </c>
      <c r="B421">
        <v>1144012000</v>
      </c>
      <c r="C421" t="s">
        <v>93</v>
      </c>
      <c r="D421" t="s">
        <v>0</v>
      </c>
      <c r="E421" t="s">
        <v>94</v>
      </c>
      <c r="F421" t="s">
        <v>119</v>
      </c>
      <c r="G421" t="s">
        <v>35</v>
      </c>
      <c r="H421">
        <v>19</v>
      </c>
      <c r="I421">
        <v>34000</v>
      </c>
      <c r="J421">
        <v>0</v>
      </c>
      <c r="K421" t="s">
        <v>179</v>
      </c>
      <c r="L421">
        <v>45</v>
      </c>
      <c r="M421">
        <v>13</v>
      </c>
      <c r="N421">
        <v>2615</v>
      </c>
      <c r="O421">
        <v>25.66</v>
      </c>
      <c r="P421">
        <v>7</v>
      </c>
      <c r="Q421">
        <v>4857</v>
      </c>
      <c r="R421" t="s">
        <v>161</v>
      </c>
      <c r="S421" s="40">
        <v>46075</v>
      </c>
      <c r="T421">
        <v>37.553798999999998</v>
      </c>
      <c r="U421">
        <v>126.92370099999999</v>
      </c>
      <c r="V421" t="s">
        <v>262</v>
      </c>
      <c r="W421" t="s">
        <v>263</v>
      </c>
      <c r="X421">
        <v>1</v>
      </c>
      <c r="Y421">
        <v>0</v>
      </c>
      <c r="Z421">
        <v>0</v>
      </c>
      <c r="AA421" t="s">
        <v>124</v>
      </c>
      <c r="AB421" t="s">
        <v>264</v>
      </c>
      <c r="AC421">
        <v>34000</v>
      </c>
      <c r="AD421">
        <v>0</v>
      </c>
      <c r="AE421" t="s">
        <v>101</v>
      </c>
      <c r="AF421" t="s">
        <v>165</v>
      </c>
      <c r="AG421" t="s">
        <v>166</v>
      </c>
      <c r="AH421">
        <v>344.14694489895248</v>
      </c>
      <c r="AI421" t="s">
        <v>47</v>
      </c>
      <c r="AJ421" t="s">
        <v>104</v>
      </c>
      <c r="AK421">
        <v>690.06417067304881</v>
      </c>
      <c r="AL421" t="s">
        <v>105</v>
      </c>
      <c r="AM421" s="41" t="s">
        <v>167</v>
      </c>
    </row>
    <row r="422" spans="1:45">
      <c r="A422">
        <v>2607750356</v>
      </c>
      <c r="B422">
        <v>1141011600</v>
      </c>
      <c r="C422" t="s">
        <v>93</v>
      </c>
      <c r="D422" t="s">
        <v>0</v>
      </c>
      <c r="E422" t="s">
        <v>94</v>
      </c>
      <c r="F422" t="s">
        <v>119</v>
      </c>
      <c r="G422">
        <v>1</v>
      </c>
      <c r="H422">
        <v>15</v>
      </c>
      <c r="I422">
        <v>850000</v>
      </c>
      <c r="J422">
        <v>0</v>
      </c>
      <c r="K422" t="s">
        <v>638</v>
      </c>
      <c r="L422">
        <v>385</v>
      </c>
      <c r="M422">
        <v>116</v>
      </c>
      <c r="N422">
        <v>7327</v>
      </c>
      <c r="O422">
        <v>214.07</v>
      </c>
      <c r="P422">
        <v>64</v>
      </c>
      <c r="Q422">
        <v>13281</v>
      </c>
      <c r="R422" t="s">
        <v>136</v>
      </c>
      <c r="S422" s="40">
        <v>46062</v>
      </c>
      <c r="T422">
        <v>37.556063999999999</v>
      </c>
      <c r="U422">
        <v>126.93825</v>
      </c>
      <c r="V422" t="s">
        <v>639</v>
      </c>
      <c r="W422" t="s">
        <v>470</v>
      </c>
      <c r="X422">
        <v>1</v>
      </c>
      <c r="Y422">
        <v>0</v>
      </c>
      <c r="Z422">
        <v>0</v>
      </c>
      <c r="AA422" t="s">
        <v>124</v>
      </c>
      <c r="AB422" t="s">
        <v>451</v>
      </c>
      <c r="AC422">
        <v>850000</v>
      </c>
      <c r="AD422">
        <v>0</v>
      </c>
      <c r="AE422" t="s">
        <v>101</v>
      </c>
      <c r="AF422" t="s">
        <v>436</v>
      </c>
      <c r="AG422" t="s">
        <v>437</v>
      </c>
      <c r="AH422">
        <v>172.70504045212317</v>
      </c>
      <c r="AI422" t="s">
        <v>48</v>
      </c>
      <c r="AJ422" t="s">
        <v>104</v>
      </c>
      <c r="AK422">
        <v>639.01446691631702</v>
      </c>
      <c r="AL422" t="s">
        <v>105</v>
      </c>
      <c r="AM422" s="41" t="s">
        <v>438</v>
      </c>
      <c r="AN422">
        <f t="shared" ref="AN422:AN424" si="200">IFERROR(VALUE(LEFT($W422,FIND("년",$W422)-1)),"")</f>
        <v>25</v>
      </c>
      <c r="AO422" t="str">
        <f t="shared" ref="AO422:AO424" si="201">IFERROR(IF(FIND("년",$W422)=3,MID($W422,FIND("년",$W422)+1,FIND("년",$W422)-1),MID($W422,FIND("년",$W422)+1,FIND("년",$W422))),"")</f>
        <v>이내</v>
      </c>
      <c r="AP422">
        <f t="shared" ref="AP422:AP424" si="202">IFERROR(IF($AN422&lt;11,10,IF(AND($AN422&lt;26,$AO422="이내"),25,26)),"")</f>
        <v>25</v>
      </c>
      <c r="AQ422">
        <f t="shared" ref="AQ422:AQ424" si="203">IFERROR(IF($P422&lt;10,9,IF($P422&lt;20,10,IF($P422&lt;30,20,IF($P422&lt;40,30,40)))),"")</f>
        <v>40</v>
      </c>
      <c r="AR422" t="str">
        <f t="shared" ref="AR422:AR424" si="204">IFERROR(IF($D422="상가",IF($G422="1","1층",IF($G422="전체층","전체층",IF(LEFT($G422,1)="B","B1",IF($G422&lt;6,"저",IF($G422/$H422&lt;=$BC$9,"저",IF($G422/$H422&lt;=$BC$10,"중","고")))))),IF(LEFT($G422,1)="B","B1",IF($H422&lt;6,"저",IF($G422/$H422&lt;=$BC$2,"저",IF($G422/$H422&lt;=$BC$3,"중","고"))))),"")</f>
        <v>저</v>
      </c>
      <c r="AS422">
        <f>IFERROR(ACOS(SIN(RADIANS(거래사례!$S$11))*SIN(RADIANS($T422))+COS(RADIANS(거래사례!$S$11))*COS(RADIANS($T422))*COS(RADIANS($U422-거래사례!$P$11)))*6371000,"")</f>
        <v>902.04969442290553</v>
      </c>
    </row>
    <row r="423" spans="1:45">
      <c r="A423">
        <v>2612049213</v>
      </c>
      <c r="B423">
        <v>1144012000</v>
      </c>
      <c r="C423" t="s">
        <v>134</v>
      </c>
      <c r="D423" t="s">
        <v>0</v>
      </c>
      <c r="E423" t="s">
        <v>94</v>
      </c>
      <c r="F423" t="s">
        <v>296</v>
      </c>
      <c r="G423">
        <v>1</v>
      </c>
      <c r="H423">
        <v>24</v>
      </c>
      <c r="I423">
        <v>450000</v>
      </c>
      <c r="J423">
        <v>0</v>
      </c>
      <c r="K423" t="s">
        <v>403</v>
      </c>
      <c r="L423">
        <v>199</v>
      </c>
      <c r="M423">
        <v>60</v>
      </c>
      <c r="N423">
        <v>7500</v>
      </c>
      <c r="O423">
        <v>109.99</v>
      </c>
      <c r="P423">
        <v>33</v>
      </c>
      <c r="Q423">
        <v>13636</v>
      </c>
      <c r="R423" t="s">
        <v>121</v>
      </c>
      <c r="S423" s="40">
        <v>46085</v>
      </c>
      <c r="T423">
        <v>37.550803000000002</v>
      </c>
      <c r="U423">
        <v>126.91672199999999</v>
      </c>
      <c r="V423" t="s">
        <v>404</v>
      </c>
      <c r="W423" t="s">
        <v>405</v>
      </c>
      <c r="X423">
        <v>1</v>
      </c>
      <c r="Y423">
        <v>0</v>
      </c>
      <c r="Z423">
        <v>0</v>
      </c>
      <c r="AA423" t="s">
        <v>222</v>
      </c>
      <c r="AB423" t="s">
        <v>267</v>
      </c>
      <c r="AC423">
        <v>450000</v>
      </c>
      <c r="AD423">
        <v>0</v>
      </c>
      <c r="AE423" t="s">
        <v>101</v>
      </c>
      <c r="AF423" t="s">
        <v>115</v>
      </c>
      <c r="AG423" t="s">
        <v>116</v>
      </c>
      <c r="AH423">
        <v>244.27878031988089</v>
      </c>
      <c r="AI423" t="s">
        <v>47</v>
      </c>
      <c r="AJ423" t="s">
        <v>104</v>
      </c>
      <c r="AK423">
        <v>203.1206532669033</v>
      </c>
      <c r="AL423">
        <v>1</v>
      </c>
      <c r="AM423" s="41" t="s">
        <v>348</v>
      </c>
      <c r="AN423">
        <f t="shared" si="200"/>
        <v>10</v>
      </c>
      <c r="AO423" t="str">
        <f t="shared" si="201"/>
        <v>이내</v>
      </c>
      <c r="AP423">
        <f t="shared" si="202"/>
        <v>10</v>
      </c>
      <c r="AQ423">
        <f t="shared" si="203"/>
        <v>30</v>
      </c>
      <c r="AR423" t="str">
        <f t="shared" si="204"/>
        <v>저</v>
      </c>
      <c r="AS423">
        <f>IFERROR(ACOS(SIN(RADIANS(거래사례!$S$11))*SIN(RADIANS($T423))+COS(RADIANS(거래사례!$S$11))*COS(RADIANS($T423))*COS(RADIANS($U423-거래사례!$P$11)))*6371000,"")</f>
        <v>1484.7879209022308</v>
      </c>
    </row>
    <row r="424" spans="1:45">
      <c r="A424">
        <v>2612049213</v>
      </c>
      <c r="B424">
        <v>1144012000</v>
      </c>
      <c r="C424" t="s">
        <v>134</v>
      </c>
      <c r="D424" t="s">
        <v>0</v>
      </c>
      <c r="E424" t="s">
        <v>94</v>
      </c>
      <c r="F424" t="s">
        <v>296</v>
      </c>
      <c r="G424">
        <v>1</v>
      </c>
      <c r="H424">
        <v>24</v>
      </c>
      <c r="I424">
        <v>450000</v>
      </c>
      <c r="J424">
        <v>0</v>
      </c>
      <c r="K424" t="s">
        <v>403</v>
      </c>
      <c r="L424">
        <v>199</v>
      </c>
      <c r="M424">
        <v>60</v>
      </c>
      <c r="N424">
        <v>7500</v>
      </c>
      <c r="O424">
        <v>109.99</v>
      </c>
      <c r="P424">
        <v>33</v>
      </c>
      <c r="Q424">
        <v>13636</v>
      </c>
      <c r="R424" t="s">
        <v>121</v>
      </c>
      <c r="S424" s="40">
        <v>46085</v>
      </c>
      <c r="T424">
        <v>37.550803000000002</v>
      </c>
      <c r="U424">
        <v>126.91672199999999</v>
      </c>
      <c r="V424" t="s">
        <v>404</v>
      </c>
      <c r="W424" t="s">
        <v>405</v>
      </c>
      <c r="X424">
        <v>1</v>
      </c>
      <c r="Y424">
        <v>0</v>
      </c>
      <c r="Z424">
        <v>0</v>
      </c>
      <c r="AA424" t="s">
        <v>222</v>
      </c>
      <c r="AB424" t="s">
        <v>267</v>
      </c>
      <c r="AC424">
        <v>450000</v>
      </c>
      <c r="AD424">
        <v>0</v>
      </c>
      <c r="AE424" t="s">
        <v>101</v>
      </c>
      <c r="AF424" t="s">
        <v>115</v>
      </c>
      <c r="AG424" t="s">
        <v>116</v>
      </c>
      <c r="AH424">
        <v>244.27878031988089</v>
      </c>
      <c r="AI424" t="s">
        <v>47</v>
      </c>
      <c r="AJ424" t="s">
        <v>104</v>
      </c>
      <c r="AK424">
        <v>203.1206532669033</v>
      </c>
      <c r="AL424">
        <v>1</v>
      </c>
      <c r="AM424" s="41" t="s">
        <v>348</v>
      </c>
      <c r="AN424">
        <f t="shared" si="200"/>
        <v>10</v>
      </c>
      <c r="AO424" t="str">
        <f t="shared" si="201"/>
        <v>이내</v>
      </c>
      <c r="AP424">
        <f t="shared" si="202"/>
        <v>10</v>
      </c>
      <c r="AQ424">
        <f t="shared" si="203"/>
        <v>30</v>
      </c>
      <c r="AR424" t="str">
        <f t="shared" si="204"/>
        <v>저</v>
      </c>
      <c r="AS424">
        <f>IFERROR(ACOS(SIN(RADIANS(거래사례!$S$11))*SIN(RADIANS($T424))+COS(RADIANS(거래사례!$S$11))*COS(RADIANS($T424))*COS(RADIANS($U424-거래사례!$P$11)))*6371000,"")</f>
        <v>1484.7879209022308</v>
      </c>
    </row>
    <row r="425" spans="1:45" hidden="1">
      <c r="A425">
        <v>2608785711</v>
      </c>
      <c r="B425">
        <v>1144011400</v>
      </c>
      <c r="C425" t="s">
        <v>134</v>
      </c>
      <c r="D425" t="s">
        <v>0</v>
      </c>
      <c r="E425" t="s">
        <v>94</v>
      </c>
      <c r="F425" t="s">
        <v>95</v>
      </c>
      <c r="G425">
        <v>1</v>
      </c>
      <c r="H425">
        <v>2</v>
      </c>
      <c r="I425">
        <v>88000</v>
      </c>
      <c r="J425">
        <v>0</v>
      </c>
      <c r="K425" t="s">
        <v>735</v>
      </c>
      <c r="L425">
        <v>77</v>
      </c>
      <c r="M425">
        <v>23</v>
      </c>
      <c r="N425">
        <v>3826</v>
      </c>
      <c r="O425">
        <v>56.1</v>
      </c>
      <c r="P425">
        <v>16</v>
      </c>
      <c r="Q425">
        <v>5500</v>
      </c>
      <c r="R425" t="s">
        <v>145</v>
      </c>
      <c r="S425" s="40">
        <v>46067</v>
      </c>
      <c r="T425">
        <v>37.546604000000002</v>
      </c>
      <c r="U425">
        <v>126.931831</v>
      </c>
      <c r="V425" t="s">
        <v>736</v>
      </c>
      <c r="W425" t="s">
        <v>544</v>
      </c>
      <c r="X425">
        <v>1</v>
      </c>
      <c r="Y425">
        <v>0</v>
      </c>
      <c r="Z425">
        <v>0</v>
      </c>
      <c r="AA425" t="s">
        <v>139</v>
      </c>
      <c r="AB425" t="s">
        <v>737</v>
      </c>
      <c r="AC425">
        <v>88000</v>
      </c>
      <c r="AD425">
        <v>0</v>
      </c>
      <c r="AE425" t="s">
        <v>101</v>
      </c>
      <c r="AF425" t="s">
        <v>481</v>
      </c>
      <c r="AG425" t="s">
        <v>103</v>
      </c>
      <c r="AH425">
        <v>116.39260612259596</v>
      </c>
      <c r="AI425" t="s">
        <v>47</v>
      </c>
      <c r="AJ425" t="s">
        <v>104</v>
      </c>
      <c r="AK425">
        <v>1542.9402267317305</v>
      </c>
      <c r="AL425" t="s">
        <v>105</v>
      </c>
      <c r="AM425" s="41" t="s">
        <v>706</v>
      </c>
    </row>
    <row r="426" spans="1:45">
      <c r="A426">
        <v>2612049213</v>
      </c>
      <c r="B426">
        <v>1144012000</v>
      </c>
      <c r="C426" t="s">
        <v>134</v>
      </c>
      <c r="D426" t="s">
        <v>0</v>
      </c>
      <c r="E426" t="s">
        <v>94</v>
      </c>
      <c r="F426" t="s">
        <v>296</v>
      </c>
      <c r="G426">
        <v>1</v>
      </c>
      <c r="H426">
        <v>24</v>
      </c>
      <c r="I426">
        <v>450000</v>
      </c>
      <c r="J426">
        <v>0</v>
      </c>
      <c r="K426" t="s">
        <v>403</v>
      </c>
      <c r="L426">
        <v>199</v>
      </c>
      <c r="M426">
        <v>60</v>
      </c>
      <c r="N426">
        <v>7500</v>
      </c>
      <c r="O426">
        <v>109.99</v>
      </c>
      <c r="P426">
        <v>33</v>
      </c>
      <c r="Q426">
        <v>13636</v>
      </c>
      <c r="R426" t="s">
        <v>121</v>
      </c>
      <c r="S426" s="40">
        <v>46085</v>
      </c>
      <c r="T426">
        <v>37.550803000000002</v>
      </c>
      <c r="U426">
        <v>126.91672199999999</v>
      </c>
      <c r="V426" t="s">
        <v>404</v>
      </c>
      <c r="W426" t="s">
        <v>405</v>
      </c>
      <c r="X426">
        <v>1</v>
      </c>
      <c r="Y426">
        <v>0</v>
      </c>
      <c r="Z426">
        <v>0</v>
      </c>
      <c r="AA426" t="s">
        <v>222</v>
      </c>
      <c r="AB426" t="s">
        <v>267</v>
      </c>
      <c r="AC426">
        <v>450000</v>
      </c>
      <c r="AD426">
        <v>0</v>
      </c>
      <c r="AE426" t="s">
        <v>101</v>
      </c>
      <c r="AF426" t="s">
        <v>115</v>
      </c>
      <c r="AG426" t="s">
        <v>116</v>
      </c>
      <c r="AH426">
        <v>244.27878031988089</v>
      </c>
      <c r="AI426" t="s">
        <v>47</v>
      </c>
      <c r="AJ426" t="s">
        <v>104</v>
      </c>
      <c r="AK426">
        <v>203.1206532669033</v>
      </c>
      <c r="AL426">
        <v>1</v>
      </c>
      <c r="AM426" s="41" t="s">
        <v>348</v>
      </c>
      <c r="AN426">
        <f t="shared" ref="AN426:AN427" si="205">IFERROR(VALUE(LEFT($W426,FIND("년",$W426)-1)),"")</f>
        <v>10</v>
      </c>
      <c r="AO426" t="str">
        <f t="shared" ref="AO426:AO427" si="206">IFERROR(IF(FIND("년",$W426)=3,MID($W426,FIND("년",$W426)+1,FIND("년",$W426)-1),MID($W426,FIND("년",$W426)+1,FIND("년",$W426))),"")</f>
        <v>이내</v>
      </c>
      <c r="AP426">
        <f t="shared" ref="AP426:AP427" si="207">IFERROR(IF($AN426&lt;11,10,IF(AND($AN426&lt;26,$AO426="이내"),25,26)),"")</f>
        <v>10</v>
      </c>
      <c r="AQ426">
        <f t="shared" ref="AQ426:AQ427" si="208">IFERROR(IF($P426&lt;10,9,IF($P426&lt;20,10,IF($P426&lt;30,20,IF($P426&lt;40,30,40)))),"")</f>
        <v>30</v>
      </c>
      <c r="AR426" t="str">
        <f t="shared" ref="AR426:AR427" si="209">IFERROR(IF($D426="상가",IF($G426="1","1층",IF($G426="전체층","전체층",IF(LEFT($G426,1)="B","B1",IF($G426&lt;6,"저",IF($G426/$H426&lt;=$BC$9,"저",IF($G426/$H426&lt;=$BC$10,"중","고")))))),IF(LEFT($G426,1)="B","B1",IF($H426&lt;6,"저",IF($G426/$H426&lt;=$BC$2,"저",IF($G426/$H426&lt;=$BC$3,"중","고"))))),"")</f>
        <v>저</v>
      </c>
      <c r="AS426">
        <f>IFERROR(ACOS(SIN(RADIANS(거래사례!$S$11))*SIN(RADIANS($T426))+COS(RADIANS(거래사례!$S$11))*COS(RADIANS($T426))*COS(RADIANS($U426-거래사례!$P$11)))*6371000,"")</f>
        <v>1484.7879209022308</v>
      </c>
    </row>
    <row r="427" spans="1:45">
      <c r="A427">
        <v>2612049213</v>
      </c>
      <c r="B427">
        <v>1144012000</v>
      </c>
      <c r="C427" t="s">
        <v>134</v>
      </c>
      <c r="D427" t="s">
        <v>0</v>
      </c>
      <c r="E427" t="s">
        <v>94</v>
      </c>
      <c r="F427" t="s">
        <v>296</v>
      </c>
      <c r="G427">
        <v>1</v>
      </c>
      <c r="H427">
        <v>24</v>
      </c>
      <c r="I427">
        <v>450000</v>
      </c>
      <c r="J427">
        <v>0</v>
      </c>
      <c r="K427" t="s">
        <v>403</v>
      </c>
      <c r="L427">
        <v>199</v>
      </c>
      <c r="M427">
        <v>60</v>
      </c>
      <c r="N427">
        <v>7500</v>
      </c>
      <c r="O427">
        <v>109.99</v>
      </c>
      <c r="P427">
        <v>33</v>
      </c>
      <c r="Q427">
        <v>13636</v>
      </c>
      <c r="R427" t="s">
        <v>121</v>
      </c>
      <c r="S427" s="40">
        <v>46085</v>
      </c>
      <c r="T427">
        <v>37.550803000000002</v>
      </c>
      <c r="U427">
        <v>126.91672199999999</v>
      </c>
      <c r="V427" t="s">
        <v>404</v>
      </c>
      <c r="W427" t="s">
        <v>405</v>
      </c>
      <c r="X427">
        <v>1</v>
      </c>
      <c r="Y427">
        <v>0</v>
      </c>
      <c r="Z427">
        <v>0</v>
      </c>
      <c r="AA427" t="s">
        <v>222</v>
      </c>
      <c r="AB427" t="s">
        <v>267</v>
      </c>
      <c r="AC427">
        <v>450000</v>
      </c>
      <c r="AD427">
        <v>0</v>
      </c>
      <c r="AE427" t="s">
        <v>101</v>
      </c>
      <c r="AF427" t="s">
        <v>115</v>
      </c>
      <c r="AG427" t="s">
        <v>116</v>
      </c>
      <c r="AH427">
        <v>244.27878031988089</v>
      </c>
      <c r="AI427" t="s">
        <v>47</v>
      </c>
      <c r="AJ427" t="s">
        <v>104</v>
      </c>
      <c r="AK427">
        <v>203.1206532669033</v>
      </c>
      <c r="AL427">
        <v>1</v>
      </c>
      <c r="AM427" s="41" t="s">
        <v>348</v>
      </c>
      <c r="AN427">
        <f t="shared" si="205"/>
        <v>10</v>
      </c>
      <c r="AO427" t="str">
        <f t="shared" si="206"/>
        <v>이내</v>
      </c>
      <c r="AP427">
        <f t="shared" si="207"/>
        <v>10</v>
      </c>
      <c r="AQ427">
        <f t="shared" si="208"/>
        <v>30</v>
      </c>
      <c r="AR427" t="str">
        <f t="shared" si="209"/>
        <v>저</v>
      </c>
      <c r="AS427">
        <f>IFERROR(ACOS(SIN(RADIANS(거래사례!$S$11))*SIN(RADIANS($T427))+COS(RADIANS(거래사례!$S$11))*COS(RADIANS($T427))*COS(RADIANS($U427-거래사례!$P$11)))*6371000,"")</f>
        <v>1484.7879209022308</v>
      </c>
    </row>
    <row r="428" spans="1:45" hidden="1">
      <c r="A428">
        <v>2606512354</v>
      </c>
      <c r="B428">
        <v>1144012000</v>
      </c>
      <c r="C428" t="s">
        <v>93</v>
      </c>
      <c r="D428" t="s">
        <v>0</v>
      </c>
      <c r="E428" t="s">
        <v>94</v>
      </c>
      <c r="F428" t="s">
        <v>135</v>
      </c>
      <c r="G428">
        <v>1</v>
      </c>
      <c r="H428">
        <v>6</v>
      </c>
      <c r="I428">
        <v>83000</v>
      </c>
      <c r="J428">
        <v>0</v>
      </c>
      <c r="K428" t="s">
        <v>559</v>
      </c>
      <c r="L428">
        <v>89</v>
      </c>
      <c r="M428">
        <v>26</v>
      </c>
      <c r="N428">
        <v>3192</v>
      </c>
      <c r="O428">
        <v>48.8</v>
      </c>
      <c r="P428">
        <v>14</v>
      </c>
      <c r="Q428">
        <v>5929</v>
      </c>
      <c r="R428" t="s">
        <v>110</v>
      </c>
      <c r="S428" s="40">
        <v>46056</v>
      </c>
      <c r="T428">
        <v>37.553348999999997</v>
      </c>
      <c r="U428">
        <v>126.924397</v>
      </c>
      <c r="V428" t="s">
        <v>560</v>
      </c>
      <c r="W428" t="s">
        <v>561</v>
      </c>
      <c r="X428">
        <v>2</v>
      </c>
      <c r="Y428" t="s">
        <v>559</v>
      </c>
      <c r="Z428" t="s">
        <v>559</v>
      </c>
      <c r="AA428" t="s">
        <v>99</v>
      </c>
      <c r="AB428" t="s">
        <v>562</v>
      </c>
      <c r="AC428">
        <v>83000</v>
      </c>
      <c r="AD428">
        <v>0</v>
      </c>
      <c r="AE428" t="s">
        <v>101</v>
      </c>
      <c r="AF428" t="s">
        <v>165</v>
      </c>
      <c r="AG428" t="s">
        <v>166</v>
      </c>
      <c r="AH428">
        <v>402.35281783877383</v>
      </c>
      <c r="AI428" t="s">
        <v>47</v>
      </c>
      <c r="AJ428" t="s">
        <v>104</v>
      </c>
      <c r="AK428">
        <v>732.53643904711817</v>
      </c>
      <c r="AL428" t="s">
        <v>105</v>
      </c>
      <c r="AM428" s="41" t="s">
        <v>563</v>
      </c>
    </row>
    <row r="429" spans="1:45" hidden="1">
      <c r="A429">
        <v>2606513447</v>
      </c>
      <c r="B429">
        <v>1144012000</v>
      </c>
      <c r="C429" t="s">
        <v>93</v>
      </c>
      <c r="D429" t="s">
        <v>0</v>
      </c>
      <c r="E429" t="s">
        <v>94</v>
      </c>
      <c r="F429" t="s">
        <v>135</v>
      </c>
      <c r="G429">
        <v>1</v>
      </c>
      <c r="H429">
        <v>6</v>
      </c>
      <c r="I429">
        <v>83000</v>
      </c>
      <c r="J429">
        <v>0</v>
      </c>
      <c r="K429" t="s">
        <v>559</v>
      </c>
      <c r="L429">
        <v>89</v>
      </c>
      <c r="M429">
        <v>26</v>
      </c>
      <c r="N429">
        <v>3192</v>
      </c>
      <c r="O429">
        <v>48.8</v>
      </c>
      <c r="P429">
        <v>14</v>
      </c>
      <c r="Q429">
        <v>5929</v>
      </c>
      <c r="R429" t="s">
        <v>110</v>
      </c>
      <c r="S429" s="40">
        <v>46055</v>
      </c>
      <c r="T429">
        <v>37.553488000000002</v>
      </c>
      <c r="U429">
        <v>126.92430400000001</v>
      </c>
      <c r="V429" t="s">
        <v>560</v>
      </c>
      <c r="W429" t="s">
        <v>561</v>
      </c>
      <c r="X429">
        <v>1</v>
      </c>
      <c r="Y429">
        <v>0</v>
      </c>
      <c r="Z429">
        <v>0</v>
      </c>
      <c r="AA429" t="s">
        <v>99</v>
      </c>
      <c r="AB429" t="s">
        <v>562</v>
      </c>
      <c r="AC429">
        <v>83000</v>
      </c>
      <c r="AD429">
        <v>0</v>
      </c>
      <c r="AE429" t="s">
        <v>101</v>
      </c>
      <c r="AF429" t="s">
        <v>165</v>
      </c>
      <c r="AG429" t="s">
        <v>166</v>
      </c>
      <c r="AH429">
        <v>385.18638332688346</v>
      </c>
      <c r="AI429" t="s">
        <v>47</v>
      </c>
      <c r="AJ429" t="s">
        <v>104</v>
      </c>
      <c r="AK429">
        <v>730.39400802924092</v>
      </c>
      <c r="AL429" t="s">
        <v>105</v>
      </c>
      <c r="AM429" s="41" t="s">
        <v>563</v>
      </c>
    </row>
    <row r="430" spans="1:45" hidden="1">
      <c r="A430">
        <v>2611910640</v>
      </c>
      <c r="B430">
        <v>1144011400</v>
      </c>
      <c r="C430" t="s">
        <v>134</v>
      </c>
      <c r="D430" t="s">
        <v>0</v>
      </c>
      <c r="E430" t="s">
        <v>94</v>
      </c>
      <c r="F430" t="s">
        <v>135</v>
      </c>
      <c r="G430">
        <v>1</v>
      </c>
      <c r="H430">
        <v>2</v>
      </c>
      <c r="I430">
        <v>77000</v>
      </c>
      <c r="J430">
        <v>0</v>
      </c>
      <c r="K430" t="s">
        <v>576</v>
      </c>
      <c r="L430">
        <v>40</v>
      </c>
      <c r="M430">
        <v>12</v>
      </c>
      <c r="N430">
        <v>6416</v>
      </c>
      <c r="O430">
        <v>40.9</v>
      </c>
      <c r="P430">
        <v>12</v>
      </c>
      <c r="Q430">
        <v>6417</v>
      </c>
      <c r="R430" t="s">
        <v>145</v>
      </c>
      <c r="S430" s="40">
        <v>46085</v>
      </c>
      <c r="T430">
        <v>37.548369000000001</v>
      </c>
      <c r="U430">
        <v>126.92944799999999</v>
      </c>
      <c r="V430" t="s">
        <v>577</v>
      </c>
      <c r="W430" t="s">
        <v>548</v>
      </c>
      <c r="X430">
        <v>1</v>
      </c>
      <c r="Y430">
        <v>0</v>
      </c>
      <c r="Z430">
        <v>0</v>
      </c>
      <c r="AA430" t="s">
        <v>176</v>
      </c>
      <c r="AB430" t="s">
        <v>480</v>
      </c>
      <c r="AC430">
        <v>77000</v>
      </c>
      <c r="AD430">
        <v>0</v>
      </c>
      <c r="AE430" t="s">
        <v>101</v>
      </c>
      <c r="AF430" t="s">
        <v>481</v>
      </c>
      <c r="AG430" t="s">
        <v>103</v>
      </c>
      <c r="AH430">
        <v>353.10489569662644</v>
      </c>
      <c r="AI430" t="s">
        <v>47</v>
      </c>
      <c r="AJ430" t="s">
        <v>104</v>
      </c>
      <c r="AK430">
        <v>1239.2769741190828</v>
      </c>
      <c r="AL430" t="s">
        <v>105</v>
      </c>
      <c r="AM430" s="41" t="s">
        <v>482</v>
      </c>
    </row>
    <row r="431" spans="1:45" hidden="1">
      <c r="A431">
        <v>2610648214</v>
      </c>
      <c r="B431">
        <v>1144011400</v>
      </c>
      <c r="C431" t="s">
        <v>134</v>
      </c>
      <c r="D431" t="s">
        <v>0</v>
      </c>
      <c r="E431" t="s">
        <v>94</v>
      </c>
      <c r="F431" t="s">
        <v>135</v>
      </c>
      <c r="G431">
        <v>1</v>
      </c>
      <c r="H431">
        <v>2</v>
      </c>
      <c r="I431">
        <v>77000</v>
      </c>
      <c r="J431">
        <v>0</v>
      </c>
      <c r="K431" t="s">
        <v>576</v>
      </c>
      <c r="L431">
        <v>63</v>
      </c>
      <c r="M431">
        <v>19</v>
      </c>
      <c r="N431">
        <v>4052</v>
      </c>
      <c r="O431">
        <v>40.9</v>
      </c>
      <c r="P431">
        <v>12</v>
      </c>
      <c r="Q431">
        <v>6417</v>
      </c>
      <c r="R431" t="s">
        <v>145</v>
      </c>
      <c r="S431" s="40">
        <v>46078</v>
      </c>
      <c r="T431">
        <v>37.548369000000001</v>
      </c>
      <c r="U431">
        <v>126.92944799999999</v>
      </c>
      <c r="V431" t="s">
        <v>578</v>
      </c>
      <c r="W431" t="s">
        <v>548</v>
      </c>
      <c r="X431">
        <v>1</v>
      </c>
      <c r="Y431">
        <v>0</v>
      </c>
      <c r="Z431">
        <v>0</v>
      </c>
      <c r="AA431" t="s">
        <v>176</v>
      </c>
      <c r="AB431" t="s">
        <v>579</v>
      </c>
      <c r="AC431">
        <v>77000</v>
      </c>
      <c r="AD431">
        <v>0</v>
      </c>
      <c r="AE431" t="s">
        <v>101</v>
      </c>
      <c r="AF431" t="s">
        <v>481</v>
      </c>
      <c r="AG431" t="s">
        <v>103</v>
      </c>
      <c r="AH431">
        <v>353.10489569662644</v>
      </c>
      <c r="AI431" t="s">
        <v>47</v>
      </c>
      <c r="AJ431" t="s">
        <v>104</v>
      </c>
      <c r="AK431">
        <v>1239.2769741190828</v>
      </c>
      <c r="AL431" t="s">
        <v>105</v>
      </c>
      <c r="AM431" s="41" t="s">
        <v>482</v>
      </c>
    </row>
    <row r="432" spans="1:45" hidden="1">
      <c r="A432">
        <v>2610910904</v>
      </c>
      <c r="B432">
        <v>1144012000</v>
      </c>
      <c r="C432" t="s">
        <v>134</v>
      </c>
      <c r="D432" t="s">
        <v>0</v>
      </c>
      <c r="E432" t="s">
        <v>94</v>
      </c>
      <c r="F432" t="s">
        <v>108</v>
      </c>
      <c r="G432">
        <v>1</v>
      </c>
      <c r="H432">
        <v>19</v>
      </c>
      <c r="I432">
        <v>58000</v>
      </c>
      <c r="J432">
        <v>0</v>
      </c>
      <c r="K432" t="s">
        <v>331</v>
      </c>
      <c r="L432">
        <v>54</v>
      </c>
      <c r="M432">
        <v>16</v>
      </c>
      <c r="N432">
        <v>3625</v>
      </c>
      <c r="O432">
        <v>30.87</v>
      </c>
      <c r="P432">
        <v>9</v>
      </c>
      <c r="Q432">
        <v>6444</v>
      </c>
      <c r="R432" t="s">
        <v>154</v>
      </c>
      <c r="S432" s="40">
        <v>46079</v>
      </c>
      <c r="T432">
        <v>37.553798999999998</v>
      </c>
      <c r="U432">
        <v>126.92370099999999</v>
      </c>
      <c r="V432" t="s">
        <v>332</v>
      </c>
      <c r="W432" t="s">
        <v>333</v>
      </c>
      <c r="X432">
        <v>1</v>
      </c>
      <c r="Y432">
        <v>0</v>
      </c>
      <c r="Z432">
        <v>0</v>
      </c>
      <c r="AA432" t="s">
        <v>222</v>
      </c>
      <c r="AB432" t="s">
        <v>255</v>
      </c>
      <c r="AC432">
        <v>58000</v>
      </c>
      <c r="AD432">
        <v>0</v>
      </c>
      <c r="AE432" t="s">
        <v>101</v>
      </c>
      <c r="AF432" t="s">
        <v>165</v>
      </c>
      <c r="AG432" t="s">
        <v>166</v>
      </c>
      <c r="AH432">
        <v>344.14694489895248</v>
      </c>
      <c r="AI432" t="s">
        <v>47</v>
      </c>
      <c r="AJ432" t="s">
        <v>104</v>
      </c>
      <c r="AK432">
        <v>690.06417067304881</v>
      </c>
      <c r="AL432" t="s">
        <v>105</v>
      </c>
      <c r="AM432" s="41" t="s">
        <v>167</v>
      </c>
    </row>
    <row r="433" spans="1:45" hidden="1">
      <c r="A433">
        <v>2610865133</v>
      </c>
      <c r="B433">
        <v>1144011400</v>
      </c>
      <c r="C433" t="s">
        <v>93</v>
      </c>
      <c r="D433" t="s">
        <v>0</v>
      </c>
      <c r="E433" t="s">
        <v>94</v>
      </c>
      <c r="F433" t="s">
        <v>135</v>
      </c>
      <c r="G433">
        <v>1</v>
      </c>
      <c r="H433">
        <v>2</v>
      </c>
      <c r="I433">
        <v>78000</v>
      </c>
      <c r="J433">
        <v>0</v>
      </c>
      <c r="K433" t="s">
        <v>580</v>
      </c>
      <c r="L433">
        <v>63</v>
      </c>
      <c r="M433">
        <v>19</v>
      </c>
      <c r="N433">
        <v>4105</v>
      </c>
      <c r="O433">
        <v>40.9</v>
      </c>
      <c r="P433">
        <v>12</v>
      </c>
      <c r="Q433">
        <v>6500</v>
      </c>
      <c r="S433" s="40">
        <v>46079</v>
      </c>
      <c r="T433">
        <v>37.548369000000001</v>
      </c>
      <c r="U433">
        <v>126.92944799999999</v>
      </c>
      <c r="V433" t="s">
        <v>581</v>
      </c>
      <c r="W433" t="s">
        <v>548</v>
      </c>
      <c r="X433">
        <v>1</v>
      </c>
      <c r="Y433">
        <v>0</v>
      </c>
      <c r="Z433">
        <v>0</v>
      </c>
      <c r="AA433" t="s">
        <v>176</v>
      </c>
      <c r="AB433" t="s">
        <v>582</v>
      </c>
      <c r="AC433">
        <v>78000</v>
      </c>
      <c r="AD433">
        <v>0</v>
      </c>
      <c r="AE433" t="s">
        <v>101</v>
      </c>
      <c r="AF433" t="s">
        <v>481</v>
      </c>
      <c r="AG433" t="s">
        <v>103</v>
      </c>
      <c r="AH433">
        <v>353.10489569662644</v>
      </c>
      <c r="AI433" t="s">
        <v>47</v>
      </c>
      <c r="AJ433" t="s">
        <v>104</v>
      </c>
      <c r="AK433">
        <v>1239.2769741190828</v>
      </c>
      <c r="AL433" t="s">
        <v>105</v>
      </c>
      <c r="AM433" s="41" t="s">
        <v>482</v>
      </c>
    </row>
    <row r="434" spans="1:45" hidden="1">
      <c r="A434">
        <v>2610802947</v>
      </c>
      <c r="B434">
        <v>1144011400</v>
      </c>
      <c r="C434" t="s">
        <v>134</v>
      </c>
      <c r="D434" t="s">
        <v>0</v>
      </c>
      <c r="E434" t="s">
        <v>94</v>
      </c>
      <c r="F434" t="s">
        <v>135</v>
      </c>
      <c r="G434">
        <v>1</v>
      </c>
      <c r="H434">
        <v>3</v>
      </c>
      <c r="I434">
        <v>60000</v>
      </c>
      <c r="J434">
        <v>0</v>
      </c>
      <c r="K434" t="s">
        <v>345</v>
      </c>
      <c r="L434">
        <v>39</v>
      </c>
      <c r="M434">
        <v>11</v>
      </c>
      <c r="N434">
        <v>5454</v>
      </c>
      <c r="O434">
        <v>32.67</v>
      </c>
      <c r="P434">
        <v>9</v>
      </c>
      <c r="Q434">
        <v>6667</v>
      </c>
      <c r="R434" t="s">
        <v>161</v>
      </c>
      <c r="S434" s="40">
        <v>46079</v>
      </c>
      <c r="T434">
        <v>37.553373000000001</v>
      </c>
      <c r="U434">
        <v>126.93097899999999</v>
      </c>
      <c r="V434" t="s">
        <v>583</v>
      </c>
      <c r="W434" t="s">
        <v>584</v>
      </c>
      <c r="X434">
        <v>1</v>
      </c>
      <c r="Y434">
        <v>0</v>
      </c>
      <c r="Z434">
        <v>0</v>
      </c>
      <c r="AA434" t="s">
        <v>139</v>
      </c>
      <c r="AB434" t="s">
        <v>585</v>
      </c>
      <c r="AC434">
        <v>60000</v>
      </c>
      <c r="AD434">
        <v>0</v>
      </c>
      <c r="AE434" t="s">
        <v>101</v>
      </c>
      <c r="AF434" t="s">
        <v>475</v>
      </c>
      <c r="AG434" t="s">
        <v>476</v>
      </c>
      <c r="AH434">
        <v>499.0915895587475</v>
      </c>
      <c r="AI434" t="s">
        <v>47</v>
      </c>
      <c r="AJ434" t="s">
        <v>104</v>
      </c>
      <c r="AK434">
        <v>1426.9861087003221</v>
      </c>
      <c r="AL434" t="s">
        <v>105</v>
      </c>
      <c r="AM434" s="41" t="s">
        <v>586</v>
      </c>
    </row>
    <row r="435" spans="1:45">
      <c r="A435">
        <v>2610315438</v>
      </c>
      <c r="B435">
        <v>1144012000</v>
      </c>
      <c r="C435" t="s">
        <v>93</v>
      </c>
      <c r="D435" t="s">
        <v>0</v>
      </c>
      <c r="E435" t="s">
        <v>94</v>
      </c>
      <c r="F435" t="s">
        <v>108</v>
      </c>
      <c r="G435">
        <v>1</v>
      </c>
      <c r="H435">
        <v>24</v>
      </c>
      <c r="I435">
        <v>460000</v>
      </c>
      <c r="J435">
        <v>0</v>
      </c>
      <c r="K435" t="s">
        <v>412</v>
      </c>
      <c r="L435">
        <v>199</v>
      </c>
      <c r="M435">
        <v>60</v>
      </c>
      <c r="N435">
        <v>7666</v>
      </c>
      <c r="O435">
        <v>109.99</v>
      </c>
      <c r="P435">
        <v>33</v>
      </c>
      <c r="Q435">
        <v>13939</v>
      </c>
      <c r="R435" t="s">
        <v>121</v>
      </c>
      <c r="S435" s="40">
        <v>46077</v>
      </c>
      <c r="T435">
        <v>37.550803000000002</v>
      </c>
      <c r="U435">
        <v>126.91672199999999</v>
      </c>
      <c r="V435" t="s">
        <v>413</v>
      </c>
      <c r="W435" t="s">
        <v>414</v>
      </c>
      <c r="X435">
        <v>1</v>
      </c>
      <c r="Y435">
        <v>0</v>
      </c>
      <c r="Z435">
        <v>0</v>
      </c>
      <c r="AA435" t="s">
        <v>99</v>
      </c>
      <c r="AB435" t="s">
        <v>389</v>
      </c>
      <c r="AC435">
        <v>460000</v>
      </c>
      <c r="AD435">
        <v>0</v>
      </c>
      <c r="AE435" t="s">
        <v>101</v>
      </c>
      <c r="AF435" t="s">
        <v>115</v>
      </c>
      <c r="AG435" t="s">
        <v>116</v>
      </c>
      <c r="AH435">
        <v>244.27878031988089</v>
      </c>
      <c r="AI435" t="s">
        <v>47</v>
      </c>
      <c r="AJ435" t="s">
        <v>104</v>
      </c>
      <c r="AK435">
        <v>203.1206532669033</v>
      </c>
      <c r="AL435">
        <v>1</v>
      </c>
      <c r="AM435" s="41" t="s">
        <v>348</v>
      </c>
      <c r="AN435">
        <f>IFERROR(VALUE(LEFT($W435,FIND("년",$W435)-1)),"")</f>
        <v>10</v>
      </c>
      <c r="AO435" t="str">
        <f>IFERROR(IF(FIND("년",$W435)=3,MID($W435,FIND("년",$W435)+1,FIND("년",$W435)-1),MID($W435,FIND("년",$W435)+1,FIND("년",$W435))),"")</f>
        <v>이내</v>
      </c>
      <c r="AP435">
        <f>IFERROR(IF($AN435&lt;11,10,IF(AND($AN435&lt;26,$AO435="이내"),25,26)),"")</f>
        <v>10</v>
      </c>
      <c r="AQ435">
        <f>IFERROR(IF($P435&lt;10,9,IF($P435&lt;20,10,IF($P435&lt;30,20,IF($P435&lt;40,30,40)))),"")</f>
        <v>30</v>
      </c>
      <c r="AR435" t="str">
        <f>IFERROR(IF($D435="상가",IF($G435="1","1층",IF($G435="전체층","전체층",IF(LEFT($G435,1)="B","B1",IF($G435&lt;6,"저",IF($G435/$H435&lt;=$BC$9,"저",IF($G435/$H435&lt;=$BC$10,"중","고")))))),IF(LEFT($G435,1)="B","B1",IF($H435&lt;6,"저",IF($G435/$H435&lt;=$BC$2,"저",IF($G435/$H435&lt;=$BC$3,"중","고"))))),"")</f>
        <v>저</v>
      </c>
      <c r="AS435">
        <f>IFERROR(ACOS(SIN(RADIANS(거래사례!$S$11))*SIN(RADIANS($T435))+COS(RADIANS(거래사례!$S$11))*COS(RADIANS($T435))*COS(RADIANS($U435-거래사례!$P$11)))*6371000,"")</f>
        <v>1484.7879209022308</v>
      </c>
    </row>
    <row r="436" spans="1:45" hidden="1">
      <c r="A436">
        <v>2611911326</v>
      </c>
      <c r="B436">
        <v>1144011400</v>
      </c>
      <c r="C436" t="s">
        <v>134</v>
      </c>
      <c r="D436" t="s">
        <v>0</v>
      </c>
      <c r="E436" t="s">
        <v>94</v>
      </c>
      <c r="F436" t="s">
        <v>135</v>
      </c>
      <c r="G436">
        <v>1</v>
      </c>
      <c r="H436">
        <v>2</v>
      </c>
      <c r="I436">
        <v>110000</v>
      </c>
      <c r="J436">
        <v>0</v>
      </c>
      <c r="K436" t="s">
        <v>229</v>
      </c>
      <c r="L436">
        <v>50</v>
      </c>
      <c r="M436">
        <v>15</v>
      </c>
      <c r="N436">
        <v>7333</v>
      </c>
      <c r="O436">
        <v>50.9</v>
      </c>
      <c r="P436">
        <v>15</v>
      </c>
      <c r="Q436">
        <v>7333</v>
      </c>
      <c r="R436" t="s">
        <v>145</v>
      </c>
      <c r="S436" s="40">
        <v>46085</v>
      </c>
      <c r="T436">
        <v>37.548369000000001</v>
      </c>
      <c r="U436">
        <v>126.92944799999999</v>
      </c>
      <c r="V436" t="s">
        <v>602</v>
      </c>
      <c r="W436" t="s">
        <v>603</v>
      </c>
      <c r="X436">
        <v>1</v>
      </c>
      <c r="Y436">
        <v>0</v>
      </c>
      <c r="Z436">
        <v>0</v>
      </c>
      <c r="AA436" t="s">
        <v>176</v>
      </c>
      <c r="AB436" t="s">
        <v>480</v>
      </c>
      <c r="AC436">
        <v>110000</v>
      </c>
      <c r="AD436">
        <v>0</v>
      </c>
      <c r="AE436" t="s">
        <v>101</v>
      </c>
      <c r="AF436" t="s">
        <v>481</v>
      </c>
      <c r="AG436" t="s">
        <v>103</v>
      </c>
      <c r="AH436">
        <v>353.10489569662644</v>
      </c>
      <c r="AI436" t="s">
        <v>47</v>
      </c>
      <c r="AJ436" t="s">
        <v>104</v>
      </c>
      <c r="AK436">
        <v>1239.2769741190828</v>
      </c>
      <c r="AL436" t="s">
        <v>105</v>
      </c>
      <c r="AM436" s="41" t="s">
        <v>482</v>
      </c>
    </row>
    <row r="437" spans="1:45" hidden="1">
      <c r="A437">
        <v>2611577813</v>
      </c>
      <c r="B437">
        <v>1144011400</v>
      </c>
      <c r="C437" t="s">
        <v>134</v>
      </c>
      <c r="D437" t="s">
        <v>0</v>
      </c>
      <c r="E437" t="s">
        <v>94</v>
      </c>
      <c r="F437" t="s">
        <v>108</v>
      </c>
      <c r="G437">
        <v>1</v>
      </c>
      <c r="H437">
        <v>2</v>
      </c>
      <c r="I437">
        <v>110000</v>
      </c>
      <c r="J437">
        <v>0</v>
      </c>
      <c r="K437" t="s">
        <v>229</v>
      </c>
      <c r="L437">
        <v>70</v>
      </c>
      <c r="M437">
        <v>21</v>
      </c>
      <c r="N437">
        <v>5238</v>
      </c>
      <c r="O437">
        <v>50.9</v>
      </c>
      <c r="P437">
        <v>15</v>
      </c>
      <c r="Q437">
        <v>7333</v>
      </c>
      <c r="R437" t="s">
        <v>145</v>
      </c>
      <c r="S437" s="40">
        <v>46084</v>
      </c>
      <c r="T437">
        <v>37.548369000000001</v>
      </c>
      <c r="U437">
        <v>126.92944799999999</v>
      </c>
      <c r="V437" t="s">
        <v>604</v>
      </c>
      <c r="W437" t="s">
        <v>548</v>
      </c>
      <c r="X437">
        <v>1</v>
      </c>
      <c r="Y437">
        <v>0</v>
      </c>
      <c r="Z437">
        <v>0</v>
      </c>
      <c r="AA437" t="s">
        <v>113</v>
      </c>
      <c r="AB437" t="s">
        <v>605</v>
      </c>
      <c r="AC437">
        <v>110000</v>
      </c>
      <c r="AD437">
        <v>0</v>
      </c>
      <c r="AE437" t="s">
        <v>101</v>
      </c>
      <c r="AF437" t="s">
        <v>481</v>
      </c>
      <c r="AG437" t="s">
        <v>103</v>
      </c>
      <c r="AH437">
        <v>353.10489569662644</v>
      </c>
      <c r="AI437" t="s">
        <v>47</v>
      </c>
      <c r="AJ437" t="s">
        <v>104</v>
      </c>
      <c r="AK437">
        <v>1239.2769741190828</v>
      </c>
      <c r="AL437" t="s">
        <v>105</v>
      </c>
      <c r="AM437" s="41" t="s">
        <v>482</v>
      </c>
    </row>
    <row r="438" spans="1:45" hidden="1">
      <c r="A438">
        <v>2611213034</v>
      </c>
      <c r="B438">
        <v>1144011400</v>
      </c>
      <c r="C438" t="s">
        <v>134</v>
      </c>
      <c r="D438" t="s">
        <v>0</v>
      </c>
      <c r="E438" t="s">
        <v>94</v>
      </c>
      <c r="F438" t="s">
        <v>135</v>
      </c>
      <c r="G438">
        <v>1</v>
      </c>
      <c r="H438">
        <v>2</v>
      </c>
      <c r="I438">
        <v>110000</v>
      </c>
      <c r="J438">
        <v>0</v>
      </c>
      <c r="K438" t="s">
        <v>229</v>
      </c>
      <c r="L438">
        <v>78</v>
      </c>
      <c r="M438">
        <v>23</v>
      </c>
      <c r="N438">
        <v>4782</v>
      </c>
      <c r="O438">
        <v>50.9</v>
      </c>
      <c r="P438">
        <v>15</v>
      </c>
      <c r="Q438">
        <v>7333</v>
      </c>
      <c r="R438" t="s">
        <v>145</v>
      </c>
      <c r="S438" s="40">
        <v>46081</v>
      </c>
      <c r="T438">
        <v>37.548164999999997</v>
      </c>
      <c r="U438">
        <v>126.930981</v>
      </c>
      <c r="V438" t="s">
        <v>606</v>
      </c>
      <c r="W438" t="s">
        <v>603</v>
      </c>
      <c r="X438">
        <v>1</v>
      </c>
      <c r="Y438">
        <v>0</v>
      </c>
      <c r="Z438">
        <v>0</v>
      </c>
      <c r="AA438" t="s">
        <v>176</v>
      </c>
      <c r="AB438" t="s">
        <v>592</v>
      </c>
      <c r="AC438">
        <v>110000</v>
      </c>
      <c r="AD438">
        <v>0</v>
      </c>
      <c r="AE438" t="s">
        <v>101</v>
      </c>
      <c r="AF438" t="s">
        <v>481</v>
      </c>
      <c r="AG438" t="s">
        <v>103</v>
      </c>
      <c r="AH438">
        <v>185.69615376552326</v>
      </c>
      <c r="AI438" t="s">
        <v>47</v>
      </c>
      <c r="AJ438" t="s">
        <v>104</v>
      </c>
      <c r="AK438">
        <v>1411.2236073411825</v>
      </c>
      <c r="AL438" t="s">
        <v>105</v>
      </c>
      <c r="AM438" s="41" t="s">
        <v>482</v>
      </c>
    </row>
    <row r="439" spans="1:45" hidden="1">
      <c r="A439">
        <v>2609716030</v>
      </c>
      <c r="B439">
        <v>1144012000</v>
      </c>
      <c r="C439" t="s">
        <v>134</v>
      </c>
      <c r="D439" t="s">
        <v>0</v>
      </c>
      <c r="E439" t="s">
        <v>94</v>
      </c>
      <c r="F439" t="s">
        <v>108</v>
      </c>
      <c r="G439">
        <v>1</v>
      </c>
      <c r="H439">
        <v>24</v>
      </c>
      <c r="I439">
        <v>60000</v>
      </c>
      <c r="J439">
        <v>0</v>
      </c>
      <c r="K439" t="s">
        <v>345</v>
      </c>
      <c r="L439">
        <v>29</v>
      </c>
      <c r="M439">
        <v>8</v>
      </c>
      <c r="N439">
        <v>7500</v>
      </c>
      <c r="O439">
        <v>29.3</v>
      </c>
      <c r="P439">
        <v>8</v>
      </c>
      <c r="Q439">
        <v>7500</v>
      </c>
      <c r="R439" t="s">
        <v>145</v>
      </c>
      <c r="S439" s="40">
        <v>46074</v>
      </c>
      <c r="T439">
        <v>37.550803000000002</v>
      </c>
      <c r="U439">
        <v>126.91672199999999</v>
      </c>
      <c r="V439" t="s">
        <v>346</v>
      </c>
      <c r="W439" t="s">
        <v>347</v>
      </c>
      <c r="X439">
        <v>1</v>
      </c>
      <c r="Y439">
        <v>0</v>
      </c>
      <c r="Z439">
        <v>0</v>
      </c>
      <c r="AA439" t="s">
        <v>139</v>
      </c>
      <c r="AB439" t="s">
        <v>337</v>
      </c>
      <c r="AC439">
        <v>60000</v>
      </c>
      <c r="AD439">
        <v>0</v>
      </c>
      <c r="AE439" t="s">
        <v>101</v>
      </c>
      <c r="AF439" t="s">
        <v>115</v>
      </c>
      <c r="AG439" t="s">
        <v>116</v>
      </c>
      <c r="AH439">
        <v>244.27878031988089</v>
      </c>
      <c r="AI439" t="s">
        <v>47</v>
      </c>
      <c r="AJ439" t="s">
        <v>104</v>
      </c>
      <c r="AK439">
        <v>203.1206532669033</v>
      </c>
      <c r="AL439">
        <v>1</v>
      </c>
      <c r="AM439" s="41" t="s">
        <v>348</v>
      </c>
    </row>
    <row r="440" spans="1:45" hidden="1">
      <c r="A440">
        <v>2606953485</v>
      </c>
      <c r="B440">
        <v>1144012000</v>
      </c>
      <c r="C440" t="s">
        <v>134</v>
      </c>
      <c r="D440" t="s">
        <v>0</v>
      </c>
      <c r="E440" t="s">
        <v>94</v>
      </c>
      <c r="F440" t="s">
        <v>95</v>
      </c>
      <c r="G440">
        <v>1</v>
      </c>
      <c r="H440">
        <v>24</v>
      </c>
      <c r="I440">
        <v>124000</v>
      </c>
      <c r="J440">
        <v>0</v>
      </c>
      <c r="K440" t="s">
        <v>351</v>
      </c>
      <c r="L440">
        <v>96</v>
      </c>
      <c r="M440">
        <v>29</v>
      </c>
      <c r="N440">
        <v>4275</v>
      </c>
      <c r="O440">
        <v>53.12</v>
      </c>
      <c r="P440">
        <v>16</v>
      </c>
      <c r="Q440">
        <v>7750</v>
      </c>
      <c r="R440" t="s">
        <v>145</v>
      </c>
      <c r="S440" s="40">
        <v>46058</v>
      </c>
      <c r="T440">
        <v>37.550803000000002</v>
      </c>
      <c r="U440">
        <v>126.91672199999999</v>
      </c>
      <c r="V440" t="s">
        <v>352</v>
      </c>
      <c r="W440" t="s">
        <v>347</v>
      </c>
      <c r="X440">
        <v>1</v>
      </c>
      <c r="Y440">
        <v>0</v>
      </c>
      <c r="Z440">
        <v>0</v>
      </c>
      <c r="AA440" t="s">
        <v>99</v>
      </c>
      <c r="AB440" t="s">
        <v>353</v>
      </c>
      <c r="AC440">
        <v>124000</v>
      </c>
      <c r="AD440">
        <v>0</v>
      </c>
      <c r="AE440" t="s">
        <v>101</v>
      </c>
      <c r="AF440" t="s">
        <v>115</v>
      </c>
      <c r="AG440" t="s">
        <v>116</v>
      </c>
      <c r="AH440">
        <v>244.27878031988089</v>
      </c>
      <c r="AI440" t="s">
        <v>47</v>
      </c>
      <c r="AJ440" t="s">
        <v>104</v>
      </c>
      <c r="AK440">
        <v>203.1206532669033</v>
      </c>
      <c r="AL440">
        <v>1</v>
      </c>
      <c r="AM440" s="41" t="s">
        <v>348</v>
      </c>
    </row>
    <row r="441" spans="1:45" hidden="1">
      <c r="A441">
        <v>2607023250</v>
      </c>
      <c r="B441">
        <v>1144011400</v>
      </c>
      <c r="C441" t="s">
        <v>93</v>
      </c>
      <c r="D441" t="s">
        <v>0</v>
      </c>
      <c r="E441" t="s">
        <v>94</v>
      </c>
      <c r="F441" t="s">
        <v>135</v>
      </c>
      <c r="G441">
        <v>1</v>
      </c>
      <c r="H441">
        <v>2</v>
      </c>
      <c r="I441">
        <v>120000</v>
      </c>
      <c r="J441">
        <v>0</v>
      </c>
      <c r="K441" t="s">
        <v>238</v>
      </c>
      <c r="L441">
        <v>78</v>
      </c>
      <c r="M441">
        <v>23</v>
      </c>
      <c r="N441">
        <v>5217</v>
      </c>
      <c r="O441">
        <v>50.9</v>
      </c>
      <c r="P441">
        <v>15</v>
      </c>
      <c r="Q441">
        <v>8000</v>
      </c>
      <c r="R441" t="s">
        <v>145</v>
      </c>
      <c r="S441" s="40">
        <v>46058</v>
      </c>
      <c r="T441">
        <v>37.548369000000001</v>
      </c>
      <c r="U441">
        <v>126.92944799999999</v>
      </c>
      <c r="V441" t="s">
        <v>611</v>
      </c>
      <c r="W441" t="s">
        <v>603</v>
      </c>
      <c r="X441">
        <v>1</v>
      </c>
      <c r="Y441">
        <v>0</v>
      </c>
      <c r="Z441">
        <v>0</v>
      </c>
      <c r="AA441" t="s">
        <v>99</v>
      </c>
      <c r="AB441" t="s">
        <v>502</v>
      </c>
      <c r="AC441">
        <v>120000</v>
      </c>
      <c r="AD441">
        <v>0</v>
      </c>
      <c r="AE441" t="s">
        <v>101</v>
      </c>
      <c r="AF441" t="s">
        <v>481</v>
      </c>
      <c r="AG441" t="s">
        <v>103</v>
      </c>
      <c r="AH441">
        <v>353.10489569662644</v>
      </c>
      <c r="AI441" t="s">
        <v>47</v>
      </c>
      <c r="AJ441" t="s">
        <v>104</v>
      </c>
      <c r="AK441">
        <v>1239.2769741190828</v>
      </c>
      <c r="AL441" t="s">
        <v>105</v>
      </c>
      <c r="AM441" s="41" t="s">
        <v>482</v>
      </c>
    </row>
    <row r="442" spans="1:45">
      <c r="A442">
        <v>2610315438</v>
      </c>
      <c r="B442">
        <v>1144012000</v>
      </c>
      <c r="C442" t="s">
        <v>93</v>
      </c>
      <c r="D442" t="s">
        <v>0</v>
      </c>
      <c r="E442" t="s">
        <v>94</v>
      </c>
      <c r="F442" t="s">
        <v>108</v>
      </c>
      <c r="G442">
        <v>1</v>
      </c>
      <c r="H442">
        <v>24</v>
      </c>
      <c r="I442">
        <v>460000</v>
      </c>
      <c r="J442">
        <v>0</v>
      </c>
      <c r="K442" t="s">
        <v>412</v>
      </c>
      <c r="L442">
        <v>199</v>
      </c>
      <c r="M442">
        <v>60</v>
      </c>
      <c r="N442">
        <v>7666</v>
      </c>
      <c r="O442">
        <v>109.99</v>
      </c>
      <c r="P442">
        <v>33</v>
      </c>
      <c r="Q442">
        <v>13939</v>
      </c>
      <c r="R442" t="s">
        <v>121</v>
      </c>
      <c r="S442" s="40">
        <v>46077</v>
      </c>
      <c r="T442">
        <v>37.550803000000002</v>
      </c>
      <c r="U442">
        <v>126.91672199999999</v>
      </c>
      <c r="V442" t="s">
        <v>413</v>
      </c>
      <c r="W442" t="s">
        <v>414</v>
      </c>
      <c r="X442">
        <v>1</v>
      </c>
      <c r="Y442">
        <v>0</v>
      </c>
      <c r="Z442">
        <v>0</v>
      </c>
      <c r="AA442" t="s">
        <v>99</v>
      </c>
      <c r="AB442" t="s">
        <v>389</v>
      </c>
      <c r="AC442">
        <v>460000</v>
      </c>
      <c r="AD442">
        <v>0</v>
      </c>
      <c r="AE442" t="s">
        <v>101</v>
      </c>
      <c r="AF442" t="s">
        <v>115</v>
      </c>
      <c r="AG442" t="s">
        <v>116</v>
      </c>
      <c r="AH442">
        <v>244.27878031988089</v>
      </c>
      <c r="AI442" t="s">
        <v>47</v>
      </c>
      <c r="AJ442" t="s">
        <v>104</v>
      </c>
      <c r="AK442">
        <v>203.1206532669033</v>
      </c>
      <c r="AL442">
        <v>1</v>
      </c>
      <c r="AM442" s="41" t="s">
        <v>348</v>
      </c>
      <c r="AN442">
        <f t="shared" ref="AN442:AN443" si="210">IFERROR(VALUE(LEFT($W442,FIND("년",$W442)-1)),"")</f>
        <v>10</v>
      </c>
      <c r="AO442" t="str">
        <f t="shared" ref="AO442:AO443" si="211">IFERROR(IF(FIND("년",$W442)=3,MID($W442,FIND("년",$W442)+1,FIND("년",$W442)-1),MID($W442,FIND("년",$W442)+1,FIND("년",$W442))),"")</f>
        <v>이내</v>
      </c>
      <c r="AP442">
        <f t="shared" ref="AP442:AP443" si="212">IFERROR(IF($AN442&lt;11,10,IF(AND($AN442&lt;26,$AO442="이내"),25,26)),"")</f>
        <v>10</v>
      </c>
      <c r="AQ442">
        <f t="shared" ref="AQ442:AQ443" si="213">IFERROR(IF($P442&lt;10,9,IF($P442&lt;20,10,IF($P442&lt;30,20,IF($P442&lt;40,30,40)))),"")</f>
        <v>30</v>
      </c>
      <c r="AR442" t="str">
        <f t="shared" ref="AR442:AR443" si="214">IFERROR(IF($D442="상가",IF($G442="1","1층",IF($G442="전체층","전체층",IF(LEFT($G442,1)="B","B1",IF($G442&lt;6,"저",IF($G442/$H442&lt;=$BC$9,"저",IF($G442/$H442&lt;=$BC$10,"중","고")))))),IF(LEFT($G442,1)="B","B1",IF($H442&lt;6,"저",IF($G442/$H442&lt;=$BC$2,"저",IF($G442/$H442&lt;=$BC$3,"중","고"))))),"")</f>
        <v>저</v>
      </c>
      <c r="AS442">
        <f>IFERROR(ACOS(SIN(RADIANS(거래사례!$S$11))*SIN(RADIANS($T442))+COS(RADIANS(거래사례!$S$11))*COS(RADIANS($T442))*COS(RADIANS($U442-거래사례!$P$11)))*6371000,"")</f>
        <v>1484.7879209022308</v>
      </c>
    </row>
    <row r="443" spans="1:45">
      <c r="A443">
        <v>2610315438</v>
      </c>
      <c r="B443">
        <v>1144012000</v>
      </c>
      <c r="C443" t="s">
        <v>93</v>
      </c>
      <c r="D443" t="s">
        <v>0</v>
      </c>
      <c r="E443" t="s">
        <v>94</v>
      </c>
      <c r="F443" t="s">
        <v>108</v>
      </c>
      <c r="G443">
        <v>1</v>
      </c>
      <c r="H443">
        <v>24</v>
      </c>
      <c r="I443">
        <v>460000</v>
      </c>
      <c r="J443">
        <v>0</v>
      </c>
      <c r="K443" t="s">
        <v>412</v>
      </c>
      <c r="L443">
        <v>199</v>
      </c>
      <c r="M443">
        <v>60</v>
      </c>
      <c r="N443">
        <v>7666</v>
      </c>
      <c r="O443">
        <v>109.99</v>
      </c>
      <c r="P443">
        <v>33</v>
      </c>
      <c r="Q443">
        <v>13939</v>
      </c>
      <c r="R443" t="s">
        <v>121</v>
      </c>
      <c r="S443" s="40">
        <v>46077</v>
      </c>
      <c r="T443">
        <v>37.550803000000002</v>
      </c>
      <c r="U443">
        <v>126.91672199999999</v>
      </c>
      <c r="V443" t="s">
        <v>413</v>
      </c>
      <c r="W443" t="s">
        <v>414</v>
      </c>
      <c r="X443">
        <v>1</v>
      </c>
      <c r="Y443">
        <v>0</v>
      </c>
      <c r="Z443">
        <v>0</v>
      </c>
      <c r="AA443" t="s">
        <v>99</v>
      </c>
      <c r="AB443" t="s">
        <v>389</v>
      </c>
      <c r="AC443">
        <v>460000</v>
      </c>
      <c r="AD443">
        <v>0</v>
      </c>
      <c r="AE443" t="s">
        <v>101</v>
      </c>
      <c r="AF443" t="s">
        <v>115</v>
      </c>
      <c r="AG443" t="s">
        <v>116</v>
      </c>
      <c r="AH443">
        <v>244.27878031988089</v>
      </c>
      <c r="AI443" t="s">
        <v>47</v>
      </c>
      <c r="AJ443" t="s">
        <v>104</v>
      </c>
      <c r="AK443">
        <v>203.1206532669033</v>
      </c>
      <c r="AL443">
        <v>1</v>
      </c>
      <c r="AM443" s="41" t="s">
        <v>348</v>
      </c>
      <c r="AN443">
        <f t="shared" si="210"/>
        <v>10</v>
      </c>
      <c r="AO443" t="str">
        <f t="shared" si="211"/>
        <v>이내</v>
      </c>
      <c r="AP443">
        <f t="shared" si="212"/>
        <v>10</v>
      </c>
      <c r="AQ443">
        <f t="shared" si="213"/>
        <v>30</v>
      </c>
      <c r="AR443" t="str">
        <f t="shared" si="214"/>
        <v>저</v>
      </c>
      <c r="AS443">
        <f>IFERROR(ACOS(SIN(RADIANS(거래사례!$S$11))*SIN(RADIANS($T443))+COS(RADIANS(거래사례!$S$11))*COS(RADIANS($T443))*COS(RADIANS($U443-거래사례!$P$11)))*6371000,"")</f>
        <v>1484.7879209022308</v>
      </c>
    </row>
    <row r="444" spans="1:45" hidden="1">
      <c r="A444">
        <v>2607647428</v>
      </c>
      <c r="B444">
        <v>1144012000</v>
      </c>
      <c r="C444" t="s">
        <v>134</v>
      </c>
      <c r="D444" t="s">
        <v>0</v>
      </c>
      <c r="E444" t="s">
        <v>94</v>
      </c>
      <c r="F444" t="s">
        <v>108</v>
      </c>
      <c r="G444">
        <v>1</v>
      </c>
      <c r="H444">
        <v>24</v>
      </c>
      <c r="I444">
        <v>75000</v>
      </c>
      <c r="J444">
        <v>0</v>
      </c>
      <c r="K444" t="s">
        <v>381</v>
      </c>
      <c r="L444">
        <v>26</v>
      </c>
      <c r="M444">
        <v>7</v>
      </c>
      <c r="N444">
        <v>10714</v>
      </c>
      <c r="O444">
        <v>26.59</v>
      </c>
      <c r="P444">
        <v>8</v>
      </c>
      <c r="Q444">
        <v>9375</v>
      </c>
      <c r="R444" t="s">
        <v>110</v>
      </c>
      <c r="S444" s="40">
        <v>46062</v>
      </c>
      <c r="T444">
        <v>37.550803000000002</v>
      </c>
      <c r="U444">
        <v>126.91672199999999</v>
      </c>
      <c r="V444" t="s">
        <v>382</v>
      </c>
      <c r="W444" t="s">
        <v>350</v>
      </c>
      <c r="X444">
        <v>1</v>
      </c>
      <c r="Y444">
        <v>0</v>
      </c>
      <c r="Z444">
        <v>0</v>
      </c>
      <c r="AA444" t="s">
        <v>139</v>
      </c>
      <c r="AB444" t="s">
        <v>337</v>
      </c>
      <c r="AC444">
        <v>75000</v>
      </c>
      <c r="AD444">
        <v>0</v>
      </c>
      <c r="AE444" t="s">
        <v>101</v>
      </c>
      <c r="AF444" t="s">
        <v>115</v>
      </c>
      <c r="AG444" t="s">
        <v>116</v>
      </c>
      <c r="AH444">
        <v>244.27878031988089</v>
      </c>
      <c r="AI444" t="s">
        <v>47</v>
      </c>
      <c r="AJ444" t="s">
        <v>104</v>
      </c>
      <c r="AK444">
        <v>203.1206532669033</v>
      </c>
      <c r="AL444">
        <v>1</v>
      </c>
      <c r="AM444" s="41" t="s">
        <v>348</v>
      </c>
    </row>
    <row r="445" spans="1:45">
      <c r="A445">
        <v>2610315438</v>
      </c>
      <c r="B445">
        <v>1144012000</v>
      </c>
      <c r="C445" t="s">
        <v>93</v>
      </c>
      <c r="D445" t="s">
        <v>0</v>
      </c>
      <c r="E445" t="s">
        <v>94</v>
      </c>
      <c r="F445" t="s">
        <v>108</v>
      </c>
      <c r="G445">
        <v>1</v>
      </c>
      <c r="H445">
        <v>24</v>
      </c>
      <c r="I445">
        <v>460000</v>
      </c>
      <c r="J445">
        <v>0</v>
      </c>
      <c r="K445" t="s">
        <v>412</v>
      </c>
      <c r="L445">
        <v>199</v>
      </c>
      <c r="M445">
        <v>60</v>
      </c>
      <c r="N445">
        <v>7666</v>
      </c>
      <c r="O445">
        <v>109.99</v>
      </c>
      <c r="P445">
        <v>33</v>
      </c>
      <c r="Q445">
        <v>13939</v>
      </c>
      <c r="R445" t="s">
        <v>121</v>
      </c>
      <c r="S445" s="40">
        <v>46077</v>
      </c>
      <c r="T445">
        <v>37.550803000000002</v>
      </c>
      <c r="U445">
        <v>126.91672199999999</v>
      </c>
      <c r="V445" t="s">
        <v>413</v>
      </c>
      <c r="W445" t="s">
        <v>414</v>
      </c>
      <c r="X445">
        <v>1</v>
      </c>
      <c r="Y445">
        <v>0</v>
      </c>
      <c r="Z445">
        <v>0</v>
      </c>
      <c r="AA445" t="s">
        <v>99</v>
      </c>
      <c r="AB445" t="s">
        <v>389</v>
      </c>
      <c r="AC445">
        <v>460000</v>
      </c>
      <c r="AD445">
        <v>0</v>
      </c>
      <c r="AE445" t="s">
        <v>101</v>
      </c>
      <c r="AF445" t="s">
        <v>115</v>
      </c>
      <c r="AG445" t="s">
        <v>116</v>
      </c>
      <c r="AH445">
        <v>244.27878031988089</v>
      </c>
      <c r="AI445" t="s">
        <v>47</v>
      </c>
      <c r="AJ445" t="s">
        <v>104</v>
      </c>
      <c r="AK445">
        <v>203.1206532669033</v>
      </c>
      <c r="AL445">
        <v>1</v>
      </c>
      <c r="AM445" s="41" t="s">
        <v>348</v>
      </c>
      <c r="AN445">
        <f t="shared" ref="AN445:AN447" si="215">IFERROR(VALUE(LEFT($W445,FIND("년",$W445)-1)),"")</f>
        <v>10</v>
      </c>
      <c r="AO445" t="str">
        <f t="shared" ref="AO445:AO447" si="216">IFERROR(IF(FIND("년",$W445)=3,MID($W445,FIND("년",$W445)+1,FIND("년",$W445)-1),MID($W445,FIND("년",$W445)+1,FIND("년",$W445))),"")</f>
        <v>이내</v>
      </c>
      <c r="AP445">
        <f t="shared" ref="AP445:AP447" si="217">IFERROR(IF($AN445&lt;11,10,IF(AND($AN445&lt;26,$AO445="이내"),25,26)),"")</f>
        <v>10</v>
      </c>
      <c r="AQ445">
        <f t="shared" ref="AQ445:AQ447" si="218">IFERROR(IF($P445&lt;10,9,IF($P445&lt;20,10,IF($P445&lt;30,20,IF($P445&lt;40,30,40)))),"")</f>
        <v>30</v>
      </c>
      <c r="AR445" t="str">
        <f t="shared" ref="AR445:AR447" si="219">IFERROR(IF($D445="상가",IF($G445="1","1층",IF($G445="전체층","전체층",IF(LEFT($G445,1)="B","B1",IF($G445&lt;6,"저",IF($G445/$H445&lt;=$BC$9,"저",IF($G445/$H445&lt;=$BC$10,"중","고")))))),IF(LEFT($G445,1)="B","B1",IF($H445&lt;6,"저",IF($G445/$H445&lt;=$BC$2,"저",IF($G445/$H445&lt;=$BC$3,"중","고"))))),"")</f>
        <v>저</v>
      </c>
      <c r="AS445">
        <f>IFERROR(ACOS(SIN(RADIANS(거래사례!$S$11))*SIN(RADIANS($T445))+COS(RADIANS(거래사례!$S$11))*COS(RADIANS($T445))*COS(RADIANS($U445-거래사례!$P$11)))*6371000,"")</f>
        <v>1484.7879209022308</v>
      </c>
    </row>
    <row r="446" spans="1:45">
      <c r="A446">
        <v>2609409824</v>
      </c>
      <c r="B446">
        <v>1144012300</v>
      </c>
      <c r="C446" t="s">
        <v>93</v>
      </c>
      <c r="D446" t="s">
        <v>0</v>
      </c>
      <c r="E446" t="s">
        <v>94</v>
      </c>
      <c r="F446" t="s">
        <v>95</v>
      </c>
      <c r="G446" t="s">
        <v>3</v>
      </c>
      <c r="H446">
        <v>2</v>
      </c>
      <c r="I446">
        <v>510000</v>
      </c>
      <c r="J446">
        <v>0</v>
      </c>
      <c r="K446" t="s">
        <v>415</v>
      </c>
      <c r="L446">
        <v>120</v>
      </c>
      <c r="M446">
        <v>36</v>
      </c>
      <c r="N446">
        <v>14166</v>
      </c>
      <c r="O446">
        <v>120.2</v>
      </c>
      <c r="P446">
        <v>36</v>
      </c>
      <c r="Q446">
        <v>14167</v>
      </c>
      <c r="R446" t="s">
        <v>161</v>
      </c>
      <c r="S446" s="40">
        <v>46072</v>
      </c>
      <c r="T446">
        <v>37.552790000000002</v>
      </c>
      <c r="U446">
        <v>126.90628599999999</v>
      </c>
      <c r="V446" t="s">
        <v>416</v>
      </c>
      <c r="W446" t="s">
        <v>417</v>
      </c>
      <c r="X446">
        <v>1</v>
      </c>
      <c r="Y446">
        <v>0</v>
      </c>
      <c r="Z446">
        <v>0</v>
      </c>
      <c r="AA446" t="s">
        <v>99</v>
      </c>
      <c r="AB446" t="s">
        <v>418</v>
      </c>
      <c r="AC446">
        <v>510000</v>
      </c>
      <c r="AD446">
        <v>0</v>
      </c>
      <c r="AE446" t="s">
        <v>101</v>
      </c>
      <c r="AF446" t="s">
        <v>102</v>
      </c>
      <c r="AG446" t="s">
        <v>103</v>
      </c>
      <c r="AH446">
        <v>553.49573320317097</v>
      </c>
      <c r="AI446" t="s">
        <v>47</v>
      </c>
      <c r="AJ446" t="s">
        <v>104</v>
      </c>
      <c r="AK446">
        <v>1385.6679757202007</v>
      </c>
      <c r="AL446" t="s">
        <v>105</v>
      </c>
      <c r="AM446" s="41" t="s">
        <v>419</v>
      </c>
      <c r="AN446">
        <f t="shared" si="215"/>
        <v>25</v>
      </c>
      <c r="AO446" t="str">
        <f t="shared" si="216"/>
        <v>이상</v>
      </c>
      <c r="AP446">
        <f t="shared" si="217"/>
        <v>26</v>
      </c>
      <c r="AQ446">
        <f t="shared" si="218"/>
        <v>30</v>
      </c>
      <c r="AR446" t="str">
        <f t="shared" si="219"/>
        <v>전체층</v>
      </c>
      <c r="AS446">
        <f>IFERROR(ACOS(SIN(RADIANS(거래사례!$S$11))*SIN(RADIANS($T446))+COS(RADIANS(거래사례!$S$11))*COS(RADIANS($T446))*COS(RADIANS($U446-거래사례!$P$11)))*6371000,"")</f>
        <v>2162.3964053541958</v>
      </c>
    </row>
    <row r="447" spans="1:45">
      <c r="A447">
        <v>2612005093</v>
      </c>
      <c r="B447">
        <v>1144012100</v>
      </c>
      <c r="C447" t="s">
        <v>93</v>
      </c>
      <c r="D447" t="s">
        <v>0</v>
      </c>
      <c r="E447" t="s">
        <v>94</v>
      </c>
      <c r="F447" t="s">
        <v>95</v>
      </c>
      <c r="G447" t="s">
        <v>3</v>
      </c>
      <c r="H447">
        <v>3</v>
      </c>
      <c r="I447">
        <v>2400000</v>
      </c>
      <c r="J447">
        <v>0</v>
      </c>
      <c r="K447" t="s">
        <v>641</v>
      </c>
      <c r="L447">
        <v>400</v>
      </c>
      <c r="M447">
        <v>121</v>
      </c>
      <c r="N447">
        <v>19834</v>
      </c>
      <c r="O447">
        <v>400</v>
      </c>
      <c r="P447">
        <v>121</v>
      </c>
      <c r="Q447">
        <v>19835</v>
      </c>
      <c r="R447" t="s">
        <v>96</v>
      </c>
      <c r="S447" s="40">
        <v>46085</v>
      </c>
      <c r="T447">
        <v>37.556800000000003</v>
      </c>
      <c r="U447">
        <v>126.924706</v>
      </c>
      <c r="V447" t="s">
        <v>642</v>
      </c>
      <c r="W447" t="s">
        <v>643</v>
      </c>
      <c r="X447">
        <v>1</v>
      </c>
      <c r="Y447">
        <v>0</v>
      </c>
      <c r="Z447">
        <v>0</v>
      </c>
      <c r="AA447" t="s">
        <v>222</v>
      </c>
      <c r="AB447" t="s">
        <v>267</v>
      </c>
      <c r="AC447">
        <v>2400000</v>
      </c>
      <c r="AD447">
        <v>0</v>
      </c>
      <c r="AE447" t="s">
        <v>101</v>
      </c>
      <c r="AF447" t="s">
        <v>165</v>
      </c>
      <c r="AG447" t="s">
        <v>166</v>
      </c>
      <c r="AH447">
        <v>115.28760889097842</v>
      </c>
      <c r="AI447" t="s">
        <v>47</v>
      </c>
      <c r="AJ447" t="s">
        <v>104</v>
      </c>
      <c r="AK447">
        <v>990.56258646180186</v>
      </c>
      <c r="AL447" t="s">
        <v>105</v>
      </c>
      <c r="AM447" s="41" t="s">
        <v>644</v>
      </c>
      <c r="AN447">
        <f t="shared" si="215"/>
        <v>25</v>
      </c>
      <c r="AO447" t="str">
        <f t="shared" si="216"/>
        <v>이상</v>
      </c>
      <c r="AP447">
        <f t="shared" si="217"/>
        <v>26</v>
      </c>
      <c r="AQ447">
        <f t="shared" si="218"/>
        <v>40</v>
      </c>
      <c r="AR447" t="str">
        <f t="shared" si="219"/>
        <v>전체층</v>
      </c>
      <c r="AS447">
        <f>IFERROR(ACOS(SIN(RADIANS(거래사례!$S$11))*SIN(RADIANS($T447))+COS(RADIANS(거래사례!$S$11))*COS(RADIANS($T447))*COS(RADIANS($U447-거래사례!$P$11)))*6371000,"")</f>
        <v>515.74161374034747</v>
      </c>
    </row>
    <row r="448" spans="1:45" hidden="1">
      <c r="A448">
        <v>2606513484</v>
      </c>
      <c r="B448">
        <v>1144012000</v>
      </c>
      <c r="C448" t="s">
        <v>93</v>
      </c>
      <c r="D448" t="s">
        <v>0</v>
      </c>
      <c r="E448" t="s">
        <v>94</v>
      </c>
      <c r="F448" t="s">
        <v>135</v>
      </c>
      <c r="G448">
        <v>1</v>
      </c>
      <c r="H448">
        <v>6</v>
      </c>
      <c r="I448">
        <v>35000</v>
      </c>
      <c r="J448">
        <v>0</v>
      </c>
      <c r="K448" t="s">
        <v>420</v>
      </c>
      <c r="L448">
        <v>28</v>
      </c>
      <c r="M448">
        <v>8</v>
      </c>
      <c r="N448">
        <v>4375</v>
      </c>
      <c r="O448">
        <v>10.7</v>
      </c>
      <c r="P448">
        <v>3</v>
      </c>
      <c r="Q448">
        <v>11667</v>
      </c>
      <c r="R448" t="s">
        <v>110</v>
      </c>
      <c r="S448" s="40">
        <v>46056</v>
      </c>
      <c r="T448">
        <v>37.553488000000002</v>
      </c>
      <c r="U448">
        <v>126.92430400000001</v>
      </c>
      <c r="V448" t="s">
        <v>560</v>
      </c>
      <c r="W448" t="s">
        <v>561</v>
      </c>
      <c r="X448">
        <v>1</v>
      </c>
      <c r="Y448">
        <v>0</v>
      </c>
      <c r="Z448">
        <v>0</v>
      </c>
      <c r="AA448" t="s">
        <v>99</v>
      </c>
      <c r="AB448" t="s">
        <v>562</v>
      </c>
      <c r="AC448">
        <v>35000</v>
      </c>
      <c r="AD448">
        <v>0</v>
      </c>
      <c r="AE448" t="s">
        <v>101</v>
      </c>
      <c r="AF448" t="s">
        <v>165</v>
      </c>
      <c r="AG448" t="s">
        <v>166</v>
      </c>
      <c r="AH448">
        <v>385.18638332688346</v>
      </c>
      <c r="AI448" t="s">
        <v>47</v>
      </c>
      <c r="AJ448" t="s">
        <v>104</v>
      </c>
      <c r="AK448">
        <v>730.39400802924092</v>
      </c>
      <c r="AL448" t="s">
        <v>105</v>
      </c>
      <c r="AM448" s="41" t="s">
        <v>563</v>
      </c>
    </row>
    <row r="449" spans="1:45" hidden="1">
      <c r="A449">
        <v>2606513293</v>
      </c>
      <c r="B449">
        <v>1144012000</v>
      </c>
      <c r="C449" t="s">
        <v>93</v>
      </c>
      <c r="D449" t="s">
        <v>0</v>
      </c>
      <c r="E449" t="s">
        <v>94</v>
      </c>
      <c r="F449" t="s">
        <v>135</v>
      </c>
      <c r="G449">
        <v>1</v>
      </c>
      <c r="H449">
        <v>6</v>
      </c>
      <c r="I449">
        <v>35000</v>
      </c>
      <c r="J449">
        <v>0</v>
      </c>
      <c r="K449" t="s">
        <v>420</v>
      </c>
      <c r="L449">
        <v>28</v>
      </c>
      <c r="M449">
        <v>8</v>
      </c>
      <c r="N449">
        <v>4375</v>
      </c>
      <c r="O449">
        <v>10.7</v>
      </c>
      <c r="P449">
        <v>3</v>
      </c>
      <c r="Q449">
        <v>11667</v>
      </c>
      <c r="R449" t="s">
        <v>110</v>
      </c>
      <c r="S449" s="40">
        <v>46056</v>
      </c>
      <c r="T449">
        <v>37.553348999999997</v>
      </c>
      <c r="U449">
        <v>126.924397</v>
      </c>
      <c r="V449" t="s">
        <v>560</v>
      </c>
      <c r="W449" t="s">
        <v>561</v>
      </c>
      <c r="X449">
        <v>1</v>
      </c>
      <c r="Y449">
        <v>0</v>
      </c>
      <c r="Z449">
        <v>0</v>
      </c>
      <c r="AA449" t="s">
        <v>99</v>
      </c>
      <c r="AB449" t="s">
        <v>562</v>
      </c>
      <c r="AC449">
        <v>35000</v>
      </c>
      <c r="AD449">
        <v>0</v>
      </c>
      <c r="AE449" t="s">
        <v>101</v>
      </c>
      <c r="AF449" t="s">
        <v>165</v>
      </c>
      <c r="AG449" t="s">
        <v>166</v>
      </c>
      <c r="AH449">
        <v>402.35281783877383</v>
      </c>
      <c r="AI449" t="s">
        <v>47</v>
      </c>
      <c r="AJ449" t="s">
        <v>104</v>
      </c>
      <c r="AK449">
        <v>732.53643904711817</v>
      </c>
      <c r="AL449" t="s">
        <v>105</v>
      </c>
      <c r="AM449" s="41" t="s">
        <v>563</v>
      </c>
    </row>
    <row r="450" spans="1:45" hidden="1">
      <c r="A450">
        <v>2611727179</v>
      </c>
      <c r="B450">
        <v>1144012000</v>
      </c>
      <c r="C450" t="s">
        <v>211</v>
      </c>
      <c r="D450" t="s">
        <v>0</v>
      </c>
      <c r="E450" t="s">
        <v>94</v>
      </c>
      <c r="F450" t="s">
        <v>95</v>
      </c>
      <c r="G450">
        <v>1</v>
      </c>
      <c r="H450">
        <v>24</v>
      </c>
      <c r="I450">
        <v>198000</v>
      </c>
      <c r="J450">
        <v>0</v>
      </c>
      <c r="K450" t="s">
        <v>399</v>
      </c>
      <c r="L450">
        <v>96</v>
      </c>
      <c r="M450">
        <v>29</v>
      </c>
      <c r="N450">
        <v>6827</v>
      </c>
      <c r="O450">
        <v>53.25</v>
      </c>
      <c r="P450">
        <v>16</v>
      </c>
      <c r="Q450">
        <v>12375</v>
      </c>
      <c r="R450" t="s">
        <v>96</v>
      </c>
      <c r="S450" s="40">
        <v>46084</v>
      </c>
      <c r="T450">
        <v>37.550803000000002</v>
      </c>
      <c r="U450">
        <v>126.91672199999999</v>
      </c>
      <c r="V450" t="s">
        <v>400</v>
      </c>
      <c r="W450" t="s">
        <v>401</v>
      </c>
      <c r="X450">
        <v>1</v>
      </c>
      <c r="Y450">
        <v>0</v>
      </c>
      <c r="Z450">
        <v>0</v>
      </c>
      <c r="AA450" t="s">
        <v>139</v>
      </c>
      <c r="AB450" t="s">
        <v>402</v>
      </c>
      <c r="AC450">
        <v>198000</v>
      </c>
      <c r="AD450">
        <v>0</v>
      </c>
      <c r="AE450" t="s">
        <v>101</v>
      </c>
      <c r="AF450" t="s">
        <v>115</v>
      </c>
      <c r="AG450" t="s">
        <v>116</v>
      </c>
      <c r="AH450">
        <v>244.27878031988089</v>
      </c>
      <c r="AI450" t="s">
        <v>47</v>
      </c>
      <c r="AJ450" t="s">
        <v>104</v>
      </c>
      <c r="AK450">
        <v>203.1206532669033</v>
      </c>
      <c r="AL450">
        <v>1</v>
      </c>
      <c r="AM450" s="41" t="s">
        <v>348</v>
      </c>
    </row>
    <row r="451" spans="1:45">
      <c r="A451">
        <v>2612005093</v>
      </c>
      <c r="B451">
        <v>1144012100</v>
      </c>
      <c r="C451" t="s">
        <v>93</v>
      </c>
      <c r="D451" t="s">
        <v>0</v>
      </c>
      <c r="E451" t="s">
        <v>94</v>
      </c>
      <c r="F451" t="s">
        <v>95</v>
      </c>
      <c r="G451" t="s">
        <v>3</v>
      </c>
      <c r="H451">
        <v>3</v>
      </c>
      <c r="I451">
        <v>2400000</v>
      </c>
      <c r="J451">
        <v>0</v>
      </c>
      <c r="K451" t="s">
        <v>641</v>
      </c>
      <c r="L451">
        <v>400</v>
      </c>
      <c r="M451">
        <v>121</v>
      </c>
      <c r="N451">
        <v>19834</v>
      </c>
      <c r="O451">
        <v>400</v>
      </c>
      <c r="P451">
        <v>121</v>
      </c>
      <c r="Q451">
        <v>19835</v>
      </c>
      <c r="R451" t="s">
        <v>96</v>
      </c>
      <c r="S451" s="40">
        <v>46085</v>
      </c>
      <c r="T451">
        <v>37.556800000000003</v>
      </c>
      <c r="U451">
        <v>126.924706</v>
      </c>
      <c r="V451" t="s">
        <v>642</v>
      </c>
      <c r="W451" t="s">
        <v>643</v>
      </c>
      <c r="X451">
        <v>1</v>
      </c>
      <c r="Y451">
        <v>0</v>
      </c>
      <c r="Z451">
        <v>0</v>
      </c>
      <c r="AA451" t="s">
        <v>222</v>
      </c>
      <c r="AB451" t="s">
        <v>267</v>
      </c>
      <c r="AC451">
        <v>2400000</v>
      </c>
      <c r="AD451">
        <v>0</v>
      </c>
      <c r="AE451" t="s">
        <v>101</v>
      </c>
      <c r="AF451" t="s">
        <v>165</v>
      </c>
      <c r="AG451" t="s">
        <v>166</v>
      </c>
      <c r="AH451">
        <v>115.28760889097842</v>
      </c>
      <c r="AI451" t="s">
        <v>47</v>
      </c>
      <c r="AJ451" t="s">
        <v>104</v>
      </c>
      <c r="AK451">
        <v>990.56258646180186</v>
      </c>
      <c r="AL451" t="s">
        <v>105</v>
      </c>
      <c r="AM451" s="41" t="s">
        <v>644</v>
      </c>
      <c r="AN451">
        <f>IFERROR(VALUE(LEFT($W451,FIND("년",$W451)-1)),"")</f>
        <v>25</v>
      </c>
      <c r="AO451" t="str">
        <f>IFERROR(IF(FIND("년",$W451)=3,MID($W451,FIND("년",$W451)+1,FIND("년",$W451)-1),MID($W451,FIND("년",$W451)+1,FIND("년",$W451))),"")</f>
        <v>이상</v>
      </c>
      <c r="AP451">
        <f>IFERROR(IF($AN451&lt;11,10,IF(AND($AN451&lt;26,$AO451="이내"),25,26)),"")</f>
        <v>26</v>
      </c>
      <c r="AQ451">
        <f>IFERROR(IF($P451&lt;10,9,IF($P451&lt;20,10,IF($P451&lt;30,20,IF($P451&lt;40,30,40)))),"")</f>
        <v>40</v>
      </c>
      <c r="AR451" t="str">
        <f>IFERROR(IF($D451="상가",IF($G451="1","1층",IF($G451="전체층","전체층",IF(LEFT($G451,1)="B","B1",IF($G451&lt;6,"저",IF($G451/$H451&lt;=$BC$9,"저",IF($G451/$H451&lt;=$BC$10,"중","고")))))),IF(LEFT($G451,1)="B","B1",IF($H451&lt;6,"저",IF($G451/$H451&lt;=$BC$2,"저",IF($G451/$H451&lt;=$BC$3,"중","고"))))),"")</f>
        <v>전체층</v>
      </c>
      <c r="AS451">
        <f>IFERROR(ACOS(SIN(RADIANS(거래사례!$S$11))*SIN(RADIANS($T451))+COS(RADIANS(거래사례!$S$11))*COS(RADIANS($T451))*COS(RADIANS($U451-거래사례!$P$11)))*6371000,"")</f>
        <v>515.74161374034747</v>
      </c>
    </row>
    <row r="452" spans="1:45" hidden="1">
      <c r="A452">
        <v>2611178271</v>
      </c>
      <c r="B452">
        <v>1144012000</v>
      </c>
      <c r="C452" t="s">
        <v>134</v>
      </c>
      <c r="D452" t="s">
        <v>0</v>
      </c>
      <c r="E452" t="s">
        <v>94</v>
      </c>
      <c r="F452" t="s">
        <v>108</v>
      </c>
      <c r="G452">
        <v>1</v>
      </c>
      <c r="H452">
        <v>24</v>
      </c>
      <c r="I452">
        <v>220000</v>
      </c>
      <c r="J452">
        <v>0</v>
      </c>
      <c r="K452" t="s">
        <v>406</v>
      </c>
      <c r="L452">
        <v>55</v>
      </c>
      <c r="M452">
        <v>16</v>
      </c>
      <c r="N452">
        <v>13750</v>
      </c>
      <c r="O452">
        <v>55.74</v>
      </c>
      <c r="P452">
        <v>16</v>
      </c>
      <c r="Q452">
        <v>13750</v>
      </c>
      <c r="R452" t="s">
        <v>121</v>
      </c>
      <c r="S452" s="40">
        <v>46081</v>
      </c>
      <c r="T452">
        <v>37.550803000000002</v>
      </c>
      <c r="U452">
        <v>126.91672199999999</v>
      </c>
      <c r="V452" t="s">
        <v>407</v>
      </c>
      <c r="W452" t="s">
        <v>408</v>
      </c>
      <c r="X452">
        <v>1</v>
      </c>
      <c r="Y452">
        <v>0</v>
      </c>
      <c r="Z452">
        <v>0</v>
      </c>
      <c r="AA452" t="s">
        <v>139</v>
      </c>
      <c r="AB452" t="s">
        <v>337</v>
      </c>
      <c r="AC452">
        <v>220000</v>
      </c>
      <c r="AD452">
        <v>0</v>
      </c>
      <c r="AE452" t="s">
        <v>101</v>
      </c>
      <c r="AF452" t="s">
        <v>115</v>
      </c>
      <c r="AG452" t="s">
        <v>116</v>
      </c>
      <c r="AH452">
        <v>244.27878031988089</v>
      </c>
      <c r="AI452" t="s">
        <v>47</v>
      </c>
      <c r="AJ452" t="s">
        <v>104</v>
      </c>
      <c r="AK452">
        <v>203.1206532669033</v>
      </c>
      <c r="AL452">
        <v>1</v>
      </c>
      <c r="AM452" s="41" t="s">
        <v>348</v>
      </c>
    </row>
    <row r="453" spans="1:45" hidden="1">
      <c r="A453">
        <v>2607463530</v>
      </c>
      <c r="B453">
        <v>1144012000</v>
      </c>
      <c r="C453" t="s">
        <v>93</v>
      </c>
      <c r="D453" t="s">
        <v>0</v>
      </c>
      <c r="E453" t="s">
        <v>94</v>
      </c>
      <c r="F453" t="s">
        <v>108</v>
      </c>
      <c r="G453">
        <v>1</v>
      </c>
      <c r="H453">
        <v>24</v>
      </c>
      <c r="I453">
        <v>220000</v>
      </c>
      <c r="J453">
        <v>0</v>
      </c>
      <c r="K453" t="s">
        <v>406</v>
      </c>
      <c r="L453">
        <v>101</v>
      </c>
      <c r="M453">
        <v>30</v>
      </c>
      <c r="N453">
        <v>7333</v>
      </c>
      <c r="O453">
        <v>55.74</v>
      </c>
      <c r="P453">
        <v>16</v>
      </c>
      <c r="Q453">
        <v>13750</v>
      </c>
      <c r="R453" t="s">
        <v>208</v>
      </c>
      <c r="S453" s="40">
        <v>46060</v>
      </c>
      <c r="T453">
        <v>37.550803000000002</v>
      </c>
      <c r="U453">
        <v>126.91672199999999</v>
      </c>
      <c r="V453" t="s">
        <v>409</v>
      </c>
      <c r="W453" t="s">
        <v>410</v>
      </c>
      <c r="X453">
        <v>1</v>
      </c>
      <c r="Y453">
        <v>0</v>
      </c>
      <c r="Z453">
        <v>0</v>
      </c>
      <c r="AA453" t="s">
        <v>113</v>
      </c>
      <c r="AB453" t="s">
        <v>411</v>
      </c>
      <c r="AC453">
        <v>220000</v>
      </c>
      <c r="AD453">
        <v>0</v>
      </c>
      <c r="AE453" t="s">
        <v>101</v>
      </c>
      <c r="AF453" t="s">
        <v>115</v>
      </c>
      <c r="AG453" t="s">
        <v>116</v>
      </c>
      <c r="AH453">
        <v>244.27878031988089</v>
      </c>
      <c r="AI453" t="s">
        <v>47</v>
      </c>
      <c r="AJ453" t="s">
        <v>104</v>
      </c>
      <c r="AK453">
        <v>203.1206532669033</v>
      </c>
      <c r="AL453">
        <v>1</v>
      </c>
      <c r="AM453" s="41" t="s">
        <v>348</v>
      </c>
    </row>
    <row r="454" spans="1:45">
      <c r="A454">
        <v>2612005093</v>
      </c>
      <c r="B454">
        <v>1144012100</v>
      </c>
      <c r="C454" t="s">
        <v>93</v>
      </c>
      <c r="D454" t="s">
        <v>0</v>
      </c>
      <c r="E454" t="s">
        <v>94</v>
      </c>
      <c r="F454" t="s">
        <v>95</v>
      </c>
      <c r="G454" t="s">
        <v>3</v>
      </c>
      <c r="H454">
        <v>3</v>
      </c>
      <c r="I454">
        <v>2400000</v>
      </c>
      <c r="J454">
        <v>0</v>
      </c>
      <c r="K454" t="s">
        <v>641</v>
      </c>
      <c r="L454">
        <v>400</v>
      </c>
      <c r="M454">
        <v>121</v>
      </c>
      <c r="N454">
        <v>19834</v>
      </c>
      <c r="O454">
        <v>400</v>
      </c>
      <c r="P454">
        <v>121</v>
      </c>
      <c r="Q454">
        <v>19835</v>
      </c>
      <c r="R454" t="s">
        <v>96</v>
      </c>
      <c r="S454" s="40">
        <v>46085</v>
      </c>
      <c r="T454">
        <v>37.556800000000003</v>
      </c>
      <c r="U454">
        <v>126.924706</v>
      </c>
      <c r="V454" t="s">
        <v>642</v>
      </c>
      <c r="W454" t="s">
        <v>643</v>
      </c>
      <c r="X454">
        <v>1</v>
      </c>
      <c r="Y454">
        <v>0</v>
      </c>
      <c r="Z454">
        <v>0</v>
      </c>
      <c r="AA454" t="s">
        <v>222</v>
      </c>
      <c r="AB454" t="s">
        <v>267</v>
      </c>
      <c r="AC454">
        <v>2400000</v>
      </c>
      <c r="AD454">
        <v>0</v>
      </c>
      <c r="AE454" t="s">
        <v>101</v>
      </c>
      <c r="AF454" t="s">
        <v>165</v>
      </c>
      <c r="AG454" t="s">
        <v>166</v>
      </c>
      <c r="AH454">
        <v>115.28760889097842</v>
      </c>
      <c r="AI454" t="s">
        <v>47</v>
      </c>
      <c r="AJ454" t="s">
        <v>104</v>
      </c>
      <c r="AK454">
        <v>990.56258646180186</v>
      </c>
      <c r="AL454" t="s">
        <v>105</v>
      </c>
      <c r="AM454" s="41" t="s">
        <v>644</v>
      </c>
      <c r="AN454">
        <f>IFERROR(VALUE(LEFT($W454,FIND("년",$W454)-1)),"")</f>
        <v>25</v>
      </c>
      <c r="AO454" t="str">
        <f>IFERROR(IF(FIND("년",$W454)=3,MID($W454,FIND("년",$W454)+1,FIND("년",$W454)-1),MID($W454,FIND("년",$W454)+1,FIND("년",$W454))),"")</f>
        <v>이상</v>
      </c>
      <c r="AP454">
        <f>IFERROR(IF($AN454&lt;11,10,IF(AND($AN454&lt;26,$AO454="이내"),25,26)),"")</f>
        <v>26</v>
      </c>
      <c r="AQ454">
        <f>IFERROR(IF($P454&lt;10,9,IF($P454&lt;20,10,IF($P454&lt;30,20,IF($P454&lt;40,30,40)))),"")</f>
        <v>40</v>
      </c>
      <c r="AR454" t="str">
        <f>IFERROR(IF($D454="상가",IF($G454="1","1층",IF($G454="전체층","전체층",IF(LEFT($G454,1)="B","B1",IF($G454&lt;6,"저",IF($G454/$H454&lt;=$BC$9,"저",IF($G454/$H454&lt;=$BC$10,"중","고")))))),IF(LEFT($G454,1)="B","B1",IF($H454&lt;6,"저",IF($G454/$H454&lt;=$BC$2,"저",IF($G454/$H454&lt;=$BC$3,"중","고"))))),"")</f>
        <v>전체층</v>
      </c>
      <c r="AS454">
        <f>IFERROR(ACOS(SIN(RADIANS(거래사례!$S$11))*SIN(RADIANS($T454))+COS(RADIANS(거래사례!$S$11))*COS(RADIANS($T454))*COS(RADIANS($U454-거래사례!$P$11)))*6371000,"")</f>
        <v>515.74161374034747</v>
      </c>
    </row>
    <row r="455" spans="1:45" hidden="1">
      <c r="A455">
        <v>2609679004</v>
      </c>
      <c r="B455">
        <v>1144012000</v>
      </c>
      <c r="C455" t="s">
        <v>134</v>
      </c>
      <c r="D455" t="s">
        <v>0</v>
      </c>
      <c r="E455" t="s">
        <v>94</v>
      </c>
      <c r="F455" t="s">
        <v>95</v>
      </c>
      <c r="G455">
        <v>1</v>
      </c>
      <c r="H455">
        <v>6</v>
      </c>
      <c r="I455">
        <v>45000</v>
      </c>
      <c r="J455">
        <v>0</v>
      </c>
      <c r="K455" t="s">
        <v>203</v>
      </c>
      <c r="L455">
        <v>28</v>
      </c>
      <c r="M455">
        <v>8</v>
      </c>
      <c r="N455">
        <v>5625</v>
      </c>
      <c r="O455">
        <v>10.7</v>
      </c>
      <c r="P455">
        <v>3</v>
      </c>
      <c r="Q455">
        <v>15000</v>
      </c>
      <c r="R455" t="s">
        <v>110</v>
      </c>
      <c r="S455" s="40">
        <v>46073</v>
      </c>
      <c r="T455">
        <v>37.553488000000002</v>
      </c>
      <c r="U455">
        <v>126.92430400000001</v>
      </c>
      <c r="V455" t="s">
        <v>640</v>
      </c>
      <c r="W455" t="s">
        <v>470</v>
      </c>
      <c r="X455">
        <v>1</v>
      </c>
      <c r="Y455">
        <v>0</v>
      </c>
      <c r="Z455">
        <v>0</v>
      </c>
      <c r="AA455" t="s">
        <v>113</v>
      </c>
      <c r="AB455" t="s">
        <v>429</v>
      </c>
      <c r="AC455">
        <v>45000</v>
      </c>
      <c r="AD455">
        <v>0</v>
      </c>
      <c r="AE455" t="s">
        <v>101</v>
      </c>
      <c r="AF455" t="s">
        <v>165</v>
      </c>
      <c r="AG455" t="s">
        <v>166</v>
      </c>
      <c r="AH455">
        <v>385.18638332688346</v>
      </c>
      <c r="AI455" t="s">
        <v>47</v>
      </c>
      <c r="AJ455" t="s">
        <v>104</v>
      </c>
      <c r="AK455">
        <v>730.39400802924092</v>
      </c>
      <c r="AL455" t="s">
        <v>105</v>
      </c>
      <c r="AM455" t="s">
        <v>563</v>
      </c>
    </row>
    <row r="456" spans="1:45" hidden="1">
      <c r="AF456" t="e">
        <v>#VALUE!</v>
      </c>
      <c r="AG456" t="e">
        <v>#VALUE!</v>
      </c>
      <c r="AH456" t="e">
        <v>#VALUE!</v>
      </c>
      <c r="AI456" t="e">
        <v>#VALUE!</v>
      </c>
      <c r="AJ456" t="e">
        <v>#VALUE!</v>
      </c>
      <c r="AK456" t="e">
        <v>#VALUE!</v>
      </c>
      <c r="AL456" t="s">
        <v>105</v>
      </c>
      <c r="AM456" t="e">
        <v>#VALUE!</v>
      </c>
    </row>
    <row r="457" spans="1:45" hidden="1">
      <c r="AF457" t="e">
        <v>#VALUE!</v>
      </c>
      <c r="AG457" t="e">
        <v>#VALUE!</v>
      </c>
      <c r="AH457" t="e">
        <v>#VALUE!</v>
      </c>
      <c r="AI457" t="e">
        <v>#VALUE!</v>
      </c>
      <c r="AJ457" t="e">
        <v>#VALUE!</v>
      </c>
      <c r="AK457" t="e">
        <v>#VALUE!</v>
      </c>
      <c r="AL457" t="s">
        <v>105</v>
      </c>
      <c r="AM457" t="e">
        <v>#VALUE!</v>
      </c>
    </row>
    <row r="458" spans="1:45" hidden="1">
      <c r="AF458" t="e">
        <v>#VALUE!</v>
      </c>
      <c r="AG458" t="e">
        <v>#VALUE!</v>
      </c>
      <c r="AH458" t="e">
        <v>#VALUE!</v>
      </c>
      <c r="AI458" t="e">
        <v>#VALUE!</v>
      </c>
      <c r="AJ458" t="e">
        <v>#VALUE!</v>
      </c>
      <c r="AK458" t="e">
        <v>#VALUE!</v>
      </c>
      <c r="AL458" t="s">
        <v>105</v>
      </c>
      <c r="AM458" t="e">
        <v>#VALUE!</v>
      </c>
    </row>
    <row r="459" spans="1:45" hidden="1">
      <c r="AF459" t="e">
        <v>#VALUE!</v>
      </c>
      <c r="AG459" t="e">
        <v>#VALUE!</v>
      </c>
      <c r="AH459" t="e">
        <v>#VALUE!</v>
      </c>
      <c r="AI459" t="e">
        <v>#VALUE!</v>
      </c>
      <c r="AJ459" t="e">
        <v>#VALUE!</v>
      </c>
      <c r="AK459" t="e">
        <v>#VALUE!</v>
      </c>
      <c r="AL459" t="s">
        <v>105</v>
      </c>
      <c r="AM459" t="e">
        <v>#VALUE!</v>
      </c>
    </row>
    <row r="460" spans="1:45" hidden="1">
      <c r="AF460" t="e">
        <v>#VALUE!</v>
      </c>
      <c r="AG460" t="e">
        <v>#VALUE!</v>
      </c>
      <c r="AH460" t="e">
        <v>#VALUE!</v>
      </c>
      <c r="AI460" t="e">
        <v>#VALUE!</v>
      </c>
      <c r="AJ460" t="e">
        <v>#VALUE!</v>
      </c>
      <c r="AK460" t="e">
        <v>#VALUE!</v>
      </c>
      <c r="AL460" t="s">
        <v>105</v>
      </c>
      <c r="AM460" t="e">
        <v>#VALUE!</v>
      </c>
    </row>
    <row r="461" spans="1:45" hidden="1">
      <c r="AF461" t="e">
        <v>#VALUE!</v>
      </c>
      <c r="AG461" t="e">
        <v>#VALUE!</v>
      </c>
      <c r="AH461" t="e">
        <v>#VALUE!</v>
      </c>
      <c r="AI461" t="e">
        <v>#VALUE!</v>
      </c>
      <c r="AJ461" t="e">
        <v>#VALUE!</v>
      </c>
      <c r="AK461" t="e">
        <v>#VALUE!</v>
      </c>
      <c r="AL461" t="s">
        <v>105</v>
      </c>
      <c r="AM461" t="e">
        <v>#VALUE!</v>
      </c>
    </row>
    <row r="462" spans="1:45" hidden="1">
      <c r="AF462" t="e">
        <v>#VALUE!</v>
      </c>
      <c r="AG462" t="e">
        <v>#VALUE!</v>
      </c>
      <c r="AH462" t="e">
        <v>#VALUE!</v>
      </c>
      <c r="AI462" t="e">
        <v>#VALUE!</v>
      </c>
      <c r="AJ462" t="e">
        <v>#VALUE!</v>
      </c>
      <c r="AK462" t="e">
        <v>#VALUE!</v>
      </c>
      <c r="AL462" t="s">
        <v>105</v>
      </c>
      <c r="AM462" t="e">
        <v>#VALUE!</v>
      </c>
    </row>
    <row r="463" spans="1:45" hidden="1">
      <c r="AF463" t="e">
        <v>#VALUE!</v>
      </c>
      <c r="AG463" t="e">
        <v>#VALUE!</v>
      </c>
      <c r="AH463" t="e">
        <v>#VALUE!</v>
      </c>
      <c r="AI463" t="e">
        <v>#VALUE!</v>
      </c>
      <c r="AJ463" t="e">
        <v>#VALUE!</v>
      </c>
      <c r="AK463" t="e">
        <v>#VALUE!</v>
      </c>
      <c r="AL463" t="s">
        <v>105</v>
      </c>
      <c r="AM463" t="e">
        <v>#VALUE!</v>
      </c>
    </row>
    <row r="464" spans="1:45" hidden="1">
      <c r="AF464" t="e">
        <v>#VALUE!</v>
      </c>
      <c r="AG464" t="e">
        <v>#VALUE!</v>
      </c>
      <c r="AH464" t="e">
        <v>#VALUE!</v>
      </c>
      <c r="AI464" t="e">
        <v>#VALUE!</v>
      </c>
      <c r="AJ464" t="e">
        <v>#VALUE!</v>
      </c>
      <c r="AK464" t="e">
        <v>#VALUE!</v>
      </c>
      <c r="AL464" t="s">
        <v>105</v>
      </c>
      <c r="AM464" t="e">
        <v>#VALUE!</v>
      </c>
    </row>
    <row r="465" spans="32:39" hidden="1">
      <c r="AF465" t="e">
        <v>#VALUE!</v>
      </c>
      <c r="AG465" t="e">
        <v>#VALUE!</v>
      </c>
      <c r="AH465" t="e">
        <v>#VALUE!</v>
      </c>
      <c r="AI465" t="e">
        <v>#VALUE!</v>
      </c>
      <c r="AJ465" t="e">
        <v>#VALUE!</v>
      </c>
      <c r="AK465" t="e">
        <v>#VALUE!</v>
      </c>
      <c r="AL465" t="s">
        <v>105</v>
      </c>
      <c r="AM465" t="e">
        <v>#VALUE!</v>
      </c>
    </row>
    <row r="466" spans="32:39" hidden="1">
      <c r="AF466" t="e">
        <v>#VALUE!</v>
      </c>
      <c r="AG466" t="e">
        <v>#VALUE!</v>
      </c>
      <c r="AH466" t="e">
        <v>#VALUE!</v>
      </c>
      <c r="AI466" t="e">
        <v>#VALUE!</v>
      </c>
      <c r="AJ466" t="e">
        <v>#VALUE!</v>
      </c>
      <c r="AK466" t="e">
        <v>#VALUE!</v>
      </c>
      <c r="AL466" t="s">
        <v>105</v>
      </c>
      <c r="AM466" t="e">
        <v>#VALUE!</v>
      </c>
    </row>
    <row r="467" spans="32:39" hidden="1">
      <c r="AF467" t="e">
        <v>#VALUE!</v>
      </c>
      <c r="AG467" t="e">
        <v>#VALUE!</v>
      </c>
      <c r="AH467" t="e">
        <v>#VALUE!</v>
      </c>
      <c r="AI467" t="e">
        <v>#VALUE!</v>
      </c>
      <c r="AJ467" t="e">
        <v>#VALUE!</v>
      </c>
      <c r="AK467" t="e">
        <v>#VALUE!</v>
      </c>
      <c r="AL467" t="s">
        <v>105</v>
      </c>
      <c r="AM467" t="e">
        <v>#VALUE!</v>
      </c>
    </row>
    <row r="468" spans="32:39" hidden="1">
      <c r="AF468" t="e">
        <v>#VALUE!</v>
      </c>
      <c r="AG468" t="e">
        <v>#VALUE!</v>
      </c>
      <c r="AH468" t="e">
        <v>#VALUE!</v>
      </c>
      <c r="AI468" t="e">
        <v>#VALUE!</v>
      </c>
      <c r="AJ468" t="e">
        <v>#VALUE!</v>
      </c>
      <c r="AK468" t="e">
        <v>#VALUE!</v>
      </c>
      <c r="AL468" t="s">
        <v>105</v>
      </c>
      <c r="AM468" t="e">
        <v>#VALUE!</v>
      </c>
    </row>
    <row r="469" spans="32:39" hidden="1">
      <c r="AF469" t="e">
        <v>#VALUE!</v>
      </c>
      <c r="AG469" t="e">
        <v>#VALUE!</v>
      </c>
      <c r="AH469" t="e">
        <v>#VALUE!</v>
      </c>
      <c r="AI469" t="e">
        <v>#VALUE!</v>
      </c>
      <c r="AJ469" t="e">
        <v>#VALUE!</v>
      </c>
      <c r="AK469" t="e">
        <v>#VALUE!</v>
      </c>
      <c r="AL469" t="s">
        <v>105</v>
      </c>
      <c r="AM469" t="e">
        <v>#VALUE!</v>
      </c>
    </row>
    <row r="470" spans="32:39" hidden="1">
      <c r="AF470" t="e">
        <v>#VALUE!</v>
      </c>
      <c r="AG470" t="e">
        <v>#VALUE!</v>
      </c>
      <c r="AH470" t="e">
        <v>#VALUE!</v>
      </c>
      <c r="AI470" t="e">
        <v>#VALUE!</v>
      </c>
      <c r="AJ470" t="e">
        <v>#VALUE!</v>
      </c>
      <c r="AK470" t="e">
        <v>#VALUE!</v>
      </c>
      <c r="AL470" t="s">
        <v>105</v>
      </c>
      <c r="AM470" t="e">
        <v>#VALUE!</v>
      </c>
    </row>
    <row r="471" spans="32:39" hidden="1">
      <c r="AF471" t="e">
        <v>#VALUE!</v>
      </c>
      <c r="AG471" t="e">
        <v>#VALUE!</v>
      </c>
      <c r="AH471" t="e">
        <v>#VALUE!</v>
      </c>
      <c r="AI471" t="e">
        <v>#VALUE!</v>
      </c>
      <c r="AJ471" t="e">
        <v>#VALUE!</v>
      </c>
      <c r="AK471" t="e">
        <v>#VALUE!</v>
      </c>
      <c r="AL471" t="s">
        <v>105</v>
      </c>
      <c r="AM471" t="e">
        <v>#VALUE!</v>
      </c>
    </row>
    <row r="472" spans="32:39" hidden="1">
      <c r="AF472" t="e">
        <v>#VALUE!</v>
      </c>
      <c r="AG472" t="e">
        <v>#VALUE!</v>
      </c>
      <c r="AH472" t="e">
        <v>#VALUE!</v>
      </c>
      <c r="AI472" t="e">
        <v>#VALUE!</v>
      </c>
      <c r="AJ472" t="e">
        <v>#VALUE!</v>
      </c>
      <c r="AK472" t="e">
        <v>#VALUE!</v>
      </c>
      <c r="AL472" t="s">
        <v>105</v>
      </c>
      <c r="AM472" t="e">
        <v>#VALUE!</v>
      </c>
    </row>
    <row r="473" spans="32:39" hidden="1">
      <c r="AF473" t="e">
        <v>#VALUE!</v>
      </c>
      <c r="AG473" t="e">
        <v>#VALUE!</v>
      </c>
      <c r="AH473" t="e">
        <v>#VALUE!</v>
      </c>
      <c r="AI473" t="e">
        <v>#VALUE!</v>
      </c>
      <c r="AJ473" t="e">
        <v>#VALUE!</v>
      </c>
      <c r="AK473" t="e">
        <v>#VALUE!</v>
      </c>
      <c r="AL473" t="s">
        <v>105</v>
      </c>
      <c r="AM473" t="e">
        <v>#VALUE!</v>
      </c>
    </row>
    <row r="474" spans="32:39" hidden="1">
      <c r="AF474" t="e">
        <v>#VALUE!</v>
      </c>
      <c r="AG474" t="e">
        <v>#VALUE!</v>
      </c>
      <c r="AH474" t="e">
        <v>#VALUE!</v>
      </c>
      <c r="AI474" t="e">
        <v>#VALUE!</v>
      </c>
      <c r="AJ474" t="e">
        <v>#VALUE!</v>
      </c>
      <c r="AK474" t="e">
        <v>#VALUE!</v>
      </c>
      <c r="AL474" t="s">
        <v>105</v>
      </c>
      <c r="AM474" t="e">
        <v>#VALUE!</v>
      </c>
    </row>
    <row r="475" spans="32:39" hidden="1">
      <c r="AF475" t="e">
        <v>#VALUE!</v>
      </c>
      <c r="AG475" t="e">
        <v>#VALUE!</v>
      </c>
      <c r="AH475" t="e">
        <v>#VALUE!</v>
      </c>
      <c r="AI475" t="e">
        <v>#VALUE!</v>
      </c>
      <c r="AJ475" t="e">
        <v>#VALUE!</v>
      </c>
      <c r="AK475" t="e">
        <v>#VALUE!</v>
      </c>
      <c r="AL475" t="s">
        <v>105</v>
      </c>
      <c r="AM475" t="e">
        <v>#VALUE!</v>
      </c>
    </row>
    <row r="476" spans="32:39" hidden="1">
      <c r="AF476" t="e">
        <v>#VALUE!</v>
      </c>
      <c r="AG476" t="e">
        <v>#VALUE!</v>
      </c>
      <c r="AH476" t="e">
        <v>#VALUE!</v>
      </c>
      <c r="AI476" t="e">
        <v>#VALUE!</v>
      </c>
      <c r="AJ476" t="e">
        <v>#VALUE!</v>
      </c>
      <c r="AK476" t="e">
        <v>#VALUE!</v>
      </c>
      <c r="AL476" t="s">
        <v>105</v>
      </c>
      <c r="AM476" t="e">
        <v>#VALUE!</v>
      </c>
    </row>
    <row r="477" spans="32:39" hidden="1">
      <c r="AF477" t="e">
        <v>#VALUE!</v>
      </c>
      <c r="AG477" t="e">
        <v>#VALUE!</v>
      </c>
      <c r="AH477" t="e">
        <v>#VALUE!</v>
      </c>
      <c r="AI477" t="e">
        <v>#VALUE!</v>
      </c>
      <c r="AJ477" t="e">
        <v>#VALUE!</v>
      </c>
      <c r="AK477" t="e">
        <v>#VALUE!</v>
      </c>
      <c r="AL477" t="s">
        <v>105</v>
      </c>
      <c r="AM477" t="e">
        <v>#VALUE!</v>
      </c>
    </row>
    <row r="478" spans="32:39" hidden="1">
      <c r="AF478" t="e">
        <v>#VALUE!</v>
      </c>
      <c r="AG478" t="e">
        <v>#VALUE!</v>
      </c>
      <c r="AH478" t="e">
        <v>#VALUE!</v>
      </c>
      <c r="AI478" t="e">
        <v>#VALUE!</v>
      </c>
      <c r="AJ478" t="e">
        <v>#VALUE!</v>
      </c>
      <c r="AK478" t="e">
        <v>#VALUE!</v>
      </c>
      <c r="AL478" t="s">
        <v>105</v>
      </c>
      <c r="AM478" t="e">
        <v>#VALUE!</v>
      </c>
    </row>
    <row r="479" spans="32:39" hidden="1">
      <c r="AF479" t="e">
        <v>#VALUE!</v>
      </c>
      <c r="AG479" t="e">
        <v>#VALUE!</v>
      </c>
      <c r="AH479" t="e">
        <v>#VALUE!</v>
      </c>
      <c r="AI479" t="e">
        <v>#VALUE!</v>
      </c>
      <c r="AJ479" t="e">
        <v>#VALUE!</v>
      </c>
      <c r="AK479" t="e">
        <v>#VALUE!</v>
      </c>
      <c r="AL479" t="s">
        <v>105</v>
      </c>
      <c r="AM479" t="e">
        <v>#VALUE!</v>
      </c>
    </row>
    <row r="480" spans="32:39" hidden="1">
      <c r="AF480" t="e">
        <v>#VALUE!</v>
      </c>
      <c r="AG480" t="e">
        <v>#VALUE!</v>
      </c>
      <c r="AH480" t="e">
        <v>#VALUE!</v>
      </c>
      <c r="AI480" t="e">
        <v>#VALUE!</v>
      </c>
      <c r="AJ480" t="e">
        <v>#VALUE!</v>
      </c>
      <c r="AK480" t="e">
        <v>#VALUE!</v>
      </c>
      <c r="AL480" t="s">
        <v>105</v>
      </c>
      <c r="AM480" t="e">
        <v>#VALUE!</v>
      </c>
    </row>
    <row r="481" spans="32:39" hidden="1">
      <c r="AF481" t="e">
        <v>#VALUE!</v>
      </c>
      <c r="AG481" t="e">
        <v>#VALUE!</v>
      </c>
      <c r="AH481" t="e">
        <v>#VALUE!</v>
      </c>
      <c r="AI481" t="e">
        <v>#VALUE!</v>
      </c>
      <c r="AJ481" t="e">
        <v>#VALUE!</v>
      </c>
      <c r="AK481" t="e">
        <v>#VALUE!</v>
      </c>
      <c r="AL481" t="s">
        <v>105</v>
      </c>
      <c r="AM481" t="e">
        <v>#VALUE!</v>
      </c>
    </row>
    <row r="482" spans="32:39" hidden="1">
      <c r="AF482" t="e">
        <v>#VALUE!</v>
      </c>
      <c r="AG482" t="e">
        <v>#VALUE!</v>
      </c>
      <c r="AH482" t="e">
        <v>#VALUE!</v>
      </c>
      <c r="AI482" t="e">
        <v>#VALUE!</v>
      </c>
      <c r="AJ482" t="e">
        <v>#VALUE!</v>
      </c>
      <c r="AK482" t="e">
        <v>#VALUE!</v>
      </c>
      <c r="AL482" t="s">
        <v>105</v>
      </c>
      <c r="AM482" t="e">
        <v>#VALUE!</v>
      </c>
    </row>
    <row r="483" spans="32:39" hidden="1">
      <c r="AF483" t="e">
        <v>#VALUE!</v>
      </c>
      <c r="AG483" t="e">
        <v>#VALUE!</v>
      </c>
      <c r="AH483" t="e">
        <v>#VALUE!</v>
      </c>
      <c r="AI483" t="e">
        <v>#VALUE!</v>
      </c>
      <c r="AJ483" t="e">
        <v>#VALUE!</v>
      </c>
      <c r="AK483" t="e">
        <v>#VALUE!</v>
      </c>
      <c r="AL483" t="s">
        <v>105</v>
      </c>
      <c r="AM483" t="e">
        <v>#VALUE!</v>
      </c>
    </row>
    <row r="484" spans="32:39" hidden="1">
      <c r="AF484" t="e">
        <v>#VALUE!</v>
      </c>
      <c r="AG484" t="e">
        <v>#VALUE!</v>
      </c>
      <c r="AH484" t="e">
        <v>#VALUE!</v>
      </c>
      <c r="AI484" t="e">
        <v>#VALUE!</v>
      </c>
      <c r="AJ484" t="e">
        <v>#VALUE!</v>
      </c>
      <c r="AK484" t="e">
        <v>#VALUE!</v>
      </c>
      <c r="AL484" t="s">
        <v>105</v>
      </c>
      <c r="AM484" t="e">
        <v>#VALUE!</v>
      </c>
    </row>
    <row r="485" spans="32:39" hidden="1">
      <c r="AF485" t="e">
        <v>#VALUE!</v>
      </c>
      <c r="AG485" t="e">
        <v>#VALUE!</v>
      </c>
      <c r="AH485" t="e">
        <v>#VALUE!</v>
      </c>
      <c r="AI485" t="e">
        <v>#VALUE!</v>
      </c>
      <c r="AJ485" t="e">
        <v>#VALUE!</v>
      </c>
      <c r="AK485" t="e">
        <v>#VALUE!</v>
      </c>
      <c r="AL485" t="s">
        <v>105</v>
      </c>
      <c r="AM485" t="e">
        <v>#VALUE!</v>
      </c>
    </row>
    <row r="486" spans="32:39" hidden="1">
      <c r="AF486" t="e">
        <v>#VALUE!</v>
      </c>
      <c r="AG486" t="e">
        <v>#VALUE!</v>
      </c>
      <c r="AH486" t="e">
        <v>#VALUE!</v>
      </c>
      <c r="AI486" t="e">
        <v>#VALUE!</v>
      </c>
      <c r="AJ486" t="e">
        <v>#VALUE!</v>
      </c>
      <c r="AK486" t="e">
        <v>#VALUE!</v>
      </c>
      <c r="AL486" t="s">
        <v>105</v>
      </c>
      <c r="AM486" t="e">
        <v>#VALUE!</v>
      </c>
    </row>
    <row r="487" spans="32:39" hidden="1">
      <c r="AF487" t="e">
        <v>#VALUE!</v>
      </c>
      <c r="AG487" t="e">
        <v>#VALUE!</v>
      </c>
      <c r="AH487" t="e">
        <v>#VALUE!</v>
      </c>
      <c r="AI487" t="e">
        <v>#VALUE!</v>
      </c>
      <c r="AJ487" t="e">
        <v>#VALUE!</v>
      </c>
      <c r="AK487" t="e">
        <v>#VALUE!</v>
      </c>
      <c r="AL487" t="s">
        <v>105</v>
      </c>
      <c r="AM487" t="e">
        <v>#VALUE!</v>
      </c>
    </row>
    <row r="488" spans="32:39" hidden="1">
      <c r="AF488" t="e">
        <v>#VALUE!</v>
      </c>
      <c r="AG488" t="e">
        <v>#VALUE!</v>
      </c>
      <c r="AH488" t="e">
        <v>#VALUE!</v>
      </c>
      <c r="AI488" t="e">
        <v>#VALUE!</v>
      </c>
      <c r="AJ488" t="e">
        <v>#VALUE!</v>
      </c>
      <c r="AK488" t="e">
        <v>#VALUE!</v>
      </c>
      <c r="AL488" t="s">
        <v>105</v>
      </c>
      <c r="AM488" t="e">
        <v>#VALUE!</v>
      </c>
    </row>
    <row r="489" spans="32:39" hidden="1">
      <c r="AF489" t="e">
        <v>#VALUE!</v>
      </c>
      <c r="AG489" t="e">
        <v>#VALUE!</v>
      </c>
      <c r="AH489" t="e">
        <v>#VALUE!</v>
      </c>
      <c r="AI489" t="e">
        <v>#VALUE!</v>
      </c>
      <c r="AJ489" t="e">
        <v>#VALUE!</v>
      </c>
      <c r="AK489" t="e">
        <v>#VALUE!</v>
      </c>
      <c r="AL489" t="s">
        <v>105</v>
      </c>
      <c r="AM489" t="e">
        <v>#VALUE!</v>
      </c>
    </row>
    <row r="490" spans="32:39" hidden="1">
      <c r="AF490" t="e">
        <v>#VALUE!</v>
      </c>
      <c r="AG490" t="e">
        <v>#VALUE!</v>
      </c>
      <c r="AH490" t="e">
        <v>#VALUE!</v>
      </c>
      <c r="AI490" t="e">
        <v>#VALUE!</v>
      </c>
      <c r="AJ490" t="e">
        <v>#VALUE!</v>
      </c>
      <c r="AK490" t="e">
        <v>#VALUE!</v>
      </c>
      <c r="AL490" t="s">
        <v>105</v>
      </c>
      <c r="AM490" t="e">
        <v>#VALUE!</v>
      </c>
    </row>
    <row r="491" spans="32:39" hidden="1">
      <c r="AF491" t="e">
        <v>#VALUE!</v>
      </c>
      <c r="AG491" t="e">
        <v>#VALUE!</v>
      </c>
      <c r="AH491" t="e">
        <v>#VALUE!</v>
      </c>
      <c r="AI491" t="e">
        <v>#VALUE!</v>
      </c>
      <c r="AJ491" t="e">
        <v>#VALUE!</v>
      </c>
      <c r="AK491" t="e">
        <v>#VALUE!</v>
      </c>
      <c r="AL491" t="s">
        <v>105</v>
      </c>
      <c r="AM491" t="e">
        <v>#VALUE!</v>
      </c>
    </row>
    <row r="492" spans="32:39" hidden="1">
      <c r="AF492" t="e">
        <v>#VALUE!</v>
      </c>
      <c r="AG492" t="e">
        <v>#VALUE!</v>
      </c>
      <c r="AH492" t="e">
        <v>#VALUE!</v>
      </c>
      <c r="AI492" t="e">
        <v>#VALUE!</v>
      </c>
      <c r="AJ492" t="e">
        <v>#VALUE!</v>
      </c>
      <c r="AK492" t="e">
        <v>#VALUE!</v>
      </c>
      <c r="AL492" t="s">
        <v>105</v>
      </c>
      <c r="AM492" t="e">
        <v>#VALUE!</v>
      </c>
    </row>
    <row r="493" spans="32:39" hidden="1">
      <c r="AF493" t="e">
        <v>#VALUE!</v>
      </c>
      <c r="AG493" t="e">
        <v>#VALUE!</v>
      </c>
      <c r="AH493" t="e">
        <v>#VALUE!</v>
      </c>
      <c r="AI493" t="e">
        <v>#VALUE!</v>
      </c>
      <c r="AJ493" t="e">
        <v>#VALUE!</v>
      </c>
      <c r="AK493" t="e">
        <v>#VALUE!</v>
      </c>
      <c r="AL493" t="s">
        <v>105</v>
      </c>
      <c r="AM493" t="e">
        <v>#VALUE!</v>
      </c>
    </row>
    <row r="494" spans="32:39" hidden="1">
      <c r="AF494" t="e">
        <v>#VALUE!</v>
      </c>
      <c r="AG494" t="e">
        <v>#VALUE!</v>
      </c>
      <c r="AH494" t="e">
        <v>#VALUE!</v>
      </c>
      <c r="AI494" t="e">
        <v>#VALUE!</v>
      </c>
      <c r="AJ494" t="e">
        <v>#VALUE!</v>
      </c>
      <c r="AK494" t="e">
        <v>#VALUE!</v>
      </c>
      <c r="AL494" t="s">
        <v>105</v>
      </c>
      <c r="AM494" t="e">
        <v>#VALUE!</v>
      </c>
    </row>
    <row r="495" spans="32:39" hidden="1">
      <c r="AF495" t="e">
        <v>#VALUE!</v>
      </c>
      <c r="AG495" t="e">
        <v>#VALUE!</v>
      </c>
      <c r="AH495" t="e">
        <v>#VALUE!</v>
      </c>
      <c r="AI495" t="e">
        <v>#VALUE!</v>
      </c>
      <c r="AJ495" t="e">
        <v>#VALUE!</v>
      </c>
      <c r="AK495" t="e">
        <v>#VALUE!</v>
      </c>
      <c r="AL495" t="s">
        <v>105</v>
      </c>
      <c r="AM495" t="e">
        <v>#VALUE!</v>
      </c>
    </row>
    <row r="496" spans="32:39" hidden="1">
      <c r="AF496" t="e">
        <v>#VALUE!</v>
      </c>
      <c r="AG496" t="e">
        <v>#VALUE!</v>
      </c>
      <c r="AH496" t="e">
        <v>#VALUE!</v>
      </c>
      <c r="AI496" t="e">
        <v>#VALUE!</v>
      </c>
      <c r="AJ496" t="e">
        <v>#VALUE!</v>
      </c>
      <c r="AK496" t="e">
        <v>#VALUE!</v>
      </c>
      <c r="AL496" t="s">
        <v>105</v>
      </c>
      <c r="AM496" t="e">
        <v>#VALUE!</v>
      </c>
    </row>
    <row r="497" spans="32:39" hidden="1">
      <c r="AF497" t="e">
        <v>#VALUE!</v>
      </c>
      <c r="AG497" t="e">
        <v>#VALUE!</v>
      </c>
      <c r="AH497" t="e">
        <v>#VALUE!</v>
      </c>
      <c r="AI497" t="e">
        <v>#VALUE!</v>
      </c>
      <c r="AJ497" t="e">
        <v>#VALUE!</v>
      </c>
      <c r="AK497" t="e">
        <v>#VALUE!</v>
      </c>
      <c r="AL497" t="s">
        <v>105</v>
      </c>
      <c r="AM497" t="e">
        <v>#VALUE!</v>
      </c>
    </row>
    <row r="498" spans="32:39" hidden="1">
      <c r="AF498" t="e">
        <v>#VALUE!</v>
      </c>
      <c r="AG498" t="e">
        <v>#VALUE!</v>
      </c>
      <c r="AH498" t="e">
        <v>#VALUE!</v>
      </c>
      <c r="AI498" t="e">
        <v>#VALUE!</v>
      </c>
      <c r="AJ498" t="e">
        <v>#VALUE!</v>
      </c>
      <c r="AK498" t="e">
        <v>#VALUE!</v>
      </c>
      <c r="AL498" t="s">
        <v>105</v>
      </c>
      <c r="AM498" t="e">
        <v>#VALUE!</v>
      </c>
    </row>
    <row r="499" spans="32:39" hidden="1">
      <c r="AF499" t="e">
        <v>#VALUE!</v>
      </c>
      <c r="AG499" t="e">
        <v>#VALUE!</v>
      </c>
      <c r="AH499" t="e">
        <v>#VALUE!</v>
      </c>
      <c r="AI499" t="e">
        <v>#VALUE!</v>
      </c>
      <c r="AJ499" t="e">
        <v>#VALUE!</v>
      </c>
      <c r="AK499" t="e">
        <v>#VALUE!</v>
      </c>
      <c r="AL499" t="s">
        <v>105</v>
      </c>
      <c r="AM499" t="e">
        <v>#VALUE!</v>
      </c>
    </row>
    <row r="500" spans="32:39" hidden="1">
      <c r="AF500" t="e">
        <v>#VALUE!</v>
      </c>
      <c r="AG500" t="e">
        <v>#VALUE!</v>
      </c>
      <c r="AH500" t="e">
        <v>#VALUE!</v>
      </c>
      <c r="AI500" t="e">
        <v>#VALUE!</v>
      </c>
      <c r="AJ500" t="e">
        <v>#VALUE!</v>
      </c>
      <c r="AK500" t="e">
        <v>#VALUE!</v>
      </c>
      <c r="AL500" t="s">
        <v>105</v>
      </c>
      <c r="AM500" t="e">
        <v>#VALUE!</v>
      </c>
    </row>
    <row r="501" spans="32:39" hidden="1">
      <c r="AF501" t="e">
        <v>#VALUE!</v>
      </c>
      <c r="AG501" t="e">
        <v>#VALUE!</v>
      </c>
      <c r="AH501" t="e">
        <v>#VALUE!</v>
      </c>
      <c r="AI501" t="e">
        <v>#VALUE!</v>
      </c>
      <c r="AJ501" t="e">
        <v>#VALUE!</v>
      </c>
      <c r="AK501" t="e">
        <v>#VALUE!</v>
      </c>
      <c r="AL501" t="s">
        <v>105</v>
      </c>
      <c r="AM501" t="e">
        <v>#VALUE!</v>
      </c>
    </row>
    <row r="502" spans="32:39" hidden="1">
      <c r="AF502" t="e">
        <v>#VALUE!</v>
      </c>
      <c r="AG502" t="e">
        <v>#VALUE!</v>
      </c>
      <c r="AH502" t="e">
        <v>#VALUE!</v>
      </c>
      <c r="AI502" t="e">
        <v>#VALUE!</v>
      </c>
      <c r="AJ502" t="e">
        <v>#VALUE!</v>
      </c>
      <c r="AK502" t="e">
        <v>#VALUE!</v>
      </c>
      <c r="AL502" t="s">
        <v>105</v>
      </c>
      <c r="AM502" t="e">
        <v>#VALUE!</v>
      </c>
    </row>
    <row r="503" spans="32:39" hidden="1">
      <c r="AF503" t="e">
        <v>#VALUE!</v>
      </c>
      <c r="AG503" t="e">
        <v>#VALUE!</v>
      </c>
      <c r="AH503" t="e">
        <v>#VALUE!</v>
      </c>
      <c r="AI503" t="e">
        <v>#VALUE!</v>
      </c>
      <c r="AJ503" t="e">
        <v>#VALUE!</v>
      </c>
      <c r="AK503" t="e">
        <v>#VALUE!</v>
      </c>
      <c r="AL503" t="s">
        <v>105</v>
      </c>
      <c r="AM503" t="e">
        <v>#VALUE!</v>
      </c>
    </row>
    <row r="504" spans="32:39" hidden="1">
      <c r="AF504" t="e">
        <v>#VALUE!</v>
      </c>
      <c r="AG504" t="e">
        <v>#VALUE!</v>
      </c>
      <c r="AH504" t="e">
        <v>#VALUE!</v>
      </c>
      <c r="AI504" t="e">
        <v>#VALUE!</v>
      </c>
      <c r="AJ504" t="e">
        <v>#VALUE!</v>
      </c>
      <c r="AK504" t="e">
        <v>#VALUE!</v>
      </c>
      <c r="AL504" t="s">
        <v>105</v>
      </c>
      <c r="AM504" t="e">
        <v>#VALUE!</v>
      </c>
    </row>
    <row r="505" spans="32:39" hidden="1">
      <c r="AF505" t="e">
        <v>#VALUE!</v>
      </c>
      <c r="AG505" t="e">
        <v>#VALUE!</v>
      </c>
      <c r="AH505" t="e">
        <v>#VALUE!</v>
      </c>
      <c r="AI505" t="e">
        <v>#VALUE!</v>
      </c>
      <c r="AJ505" t="e">
        <v>#VALUE!</v>
      </c>
      <c r="AK505" t="e">
        <v>#VALUE!</v>
      </c>
      <c r="AL505" t="s">
        <v>105</v>
      </c>
      <c r="AM505" t="e">
        <v>#VALUE!</v>
      </c>
    </row>
    <row r="506" spans="32:39" hidden="1">
      <c r="AF506" t="e">
        <v>#VALUE!</v>
      </c>
      <c r="AG506" t="e">
        <v>#VALUE!</v>
      </c>
      <c r="AH506" t="e">
        <v>#VALUE!</v>
      </c>
      <c r="AI506" t="e">
        <v>#VALUE!</v>
      </c>
      <c r="AJ506" t="e">
        <v>#VALUE!</v>
      </c>
      <c r="AK506" t="e">
        <v>#VALUE!</v>
      </c>
      <c r="AL506" t="s">
        <v>105</v>
      </c>
      <c r="AM506" t="e">
        <v>#VALUE!</v>
      </c>
    </row>
    <row r="507" spans="32:39" hidden="1">
      <c r="AF507" t="e">
        <v>#VALUE!</v>
      </c>
      <c r="AG507" t="e">
        <v>#VALUE!</v>
      </c>
      <c r="AH507" t="e">
        <v>#VALUE!</v>
      </c>
      <c r="AI507" t="e">
        <v>#VALUE!</v>
      </c>
      <c r="AJ507" t="e">
        <v>#VALUE!</v>
      </c>
      <c r="AK507" t="e">
        <v>#VALUE!</v>
      </c>
      <c r="AL507" t="s">
        <v>105</v>
      </c>
      <c r="AM507" t="e">
        <v>#VALUE!</v>
      </c>
    </row>
    <row r="508" spans="32:39" hidden="1">
      <c r="AF508" t="e">
        <v>#VALUE!</v>
      </c>
      <c r="AG508" t="e">
        <v>#VALUE!</v>
      </c>
      <c r="AH508" t="e">
        <v>#VALUE!</v>
      </c>
      <c r="AI508" t="e">
        <v>#VALUE!</v>
      </c>
      <c r="AJ508" t="e">
        <v>#VALUE!</v>
      </c>
      <c r="AK508" t="e">
        <v>#VALUE!</v>
      </c>
      <c r="AL508" t="s">
        <v>105</v>
      </c>
      <c r="AM508" t="e">
        <v>#VALUE!</v>
      </c>
    </row>
    <row r="509" spans="32:39" hidden="1">
      <c r="AF509" t="e">
        <v>#VALUE!</v>
      </c>
      <c r="AG509" t="e">
        <v>#VALUE!</v>
      </c>
      <c r="AH509" t="e">
        <v>#VALUE!</v>
      </c>
      <c r="AI509" t="e">
        <v>#VALUE!</v>
      </c>
      <c r="AJ509" t="e">
        <v>#VALUE!</v>
      </c>
      <c r="AK509" t="e">
        <v>#VALUE!</v>
      </c>
      <c r="AL509" t="s">
        <v>105</v>
      </c>
      <c r="AM509" t="e">
        <v>#VALUE!</v>
      </c>
    </row>
    <row r="510" spans="32:39" hidden="1">
      <c r="AF510" t="e">
        <v>#VALUE!</v>
      </c>
      <c r="AG510" t="e">
        <v>#VALUE!</v>
      </c>
      <c r="AH510" t="e">
        <v>#VALUE!</v>
      </c>
      <c r="AI510" t="e">
        <v>#VALUE!</v>
      </c>
      <c r="AJ510" t="e">
        <v>#VALUE!</v>
      </c>
      <c r="AK510" t="e">
        <v>#VALUE!</v>
      </c>
      <c r="AL510" t="s">
        <v>105</v>
      </c>
      <c r="AM510" t="e">
        <v>#VALUE!</v>
      </c>
    </row>
    <row r="511" spans="32:39" hidden="1">
      <c r="AF511" t="e">
        <v>#VALUE!</v>
      </c>
      <c r="AG511" t="e">
        <v>#VALUE!</v>
      </c>
      <c r="AH511" t="e">
        <v>#VALUE!</v>
      </c>
      <c r="AI511" t="e">
        <v>#VALUE!</v>
      </c>
      <c r="AJ511" t="e">
        <v>#VALUE!</v>
      </c>
      <c r="AK511" t="e">
        <v>#VALUE!</v>
      </c>
      <c r="AL511" t="s">
        <v>105</v>
      </c>
      <c r="AM511" t="e">
        <v>#VALUE!</v>
      </c>
    </row>
    <row r="512" spans="32:39" hidden="1">
      <c r="AF512" t="e">
        <v>#VALUE!</v>
      </c>
      <c r="AG512" t="e">
        <v>#VALUE!</v>
      </c>
      <c r="AH512" t="e">
        <v>#VALUE!</v>
      </c>
      <c r="AI512" t="e">
        <v>#VALUE!</v>
      </c>
      <c r="AJ512" t="e">
        <v>#VALUE!</v>
      </c>
      <c r="AK512" t="e">
        <v>#VALUE!</v>
      </c>
      <c r="AL512" t="s">
        <v>105</v>
      </c>
      <c r="AM512" t="e">
        <v>#VALUE!</v>
      </c>
    </row>
    <row r="513" spans="32:39" hidden="1">
      <c r="AF513" t="e">
        <v>#VALUE!</v>
      </c>
      <c r="AG513" t="e">
        <v>#VALUE!</v>
      </c>
      <c r="AH513" t="e">
        <v>#VALUE!</v>
      </c>
      <c r="AI513" t="e">
        <v>#VALUE!</v>
      </c>
      <c r="AJ513" t="e">
        <v>#VALUE!</v>
      </c>
      <c r="AK513" t="e">
        <v>#VALUE!</v>
      </c>
      <c r="AL513" t="s">
        <v>105</v>
      </c>
      <c r="AM513" t="e">
        <v>#VALUE!</v>
      </c>
    </row>
    <row r="514" spans="32:39" hidden="1">
      <c r="AF514" t="e">
        <v>#VALUE!</v>
      </c>
      <c r="AG514" t="e">
        <v>#VALUE!</v>
      </c>
      <c r="AH514" t="e">
        <v>#VALUE!</v>
      </c>
      <c r="AI514" t="e">
        <v>#VALUE!</v>
      </c>
      <c r="AJ514" t="e">
        <v>#VALUE!</v>
      </c>
      <c r="AK514" t="e">
        <v>#VALUE!</v>
      </c>
      <c r="AL514" t="s">
        <v>105</v>
      </c>
      <c r="AM514" t="e">
        <v>#VALUE!</v>
      </c>
    </row>
    <row r="515" spans="32:39" hidden="1">
      <c r="AF515" t="e">
        <v>#VALUE!</v>
      </c>
      <c r="AG515" t="e">
        <v>#VALUE!</v>
      </c>
      <c r="AH515" t="e">
        <v>#VALUE!</v>
      </c>
      <c r="AI515" t="e">
        <v>#VALUE!</v>
      </c>
      <c r="AJ515" t="e">
        <v>#VALUE!</v>
      </c>
      <c r="AK515" t="e">
        <v>#VALUE!</v>
      </c>
      <c r="AL515" t="s">
        <v>105</v>
      </c>
      <c r="AM515" t="e">
        <v>#VALUE!</v>
      </c>
    </row>
    <row r="516" spans="32:39" hidden="1">
      <c r="AF516" t="e">
        <v>#VALUE!</v>
      </c>
      <c r="AG516" t="e">
        <v>#VALUE!</v>
      </c>
      <c r="AH516" t="e">
        <v>#VALUE!</v>
      </c>
      <c r="AI516" t="e">
        <v>#VALUE!</v>
      </c>
      <c r="AJ516" t="e">
        <v>#VALUE!</v>
      </c>
      <c r="AK516" t="e">
        <v>#VALUE!</v>
      </c>
      <c r="AL516" t="s">
        <v>105</v>
      </c>
      <c r="AM516" t="e">
        <v>#VALUE!</v>
      </c>
    </row>
    <row r="517" spans="32:39" hidden="1">
      <c r="AF517" t="e">
        <v>#VALUE!</v>
      </c>
      <c r="AG517" t="e">
        <v>#VALUE!</v>
      </c>
      <c r="AH517" t="e">
        <v>#VALUE!</v>
      </c>
      <c r="AI517" t="e">
        <v>#VALUE!</v>
      </c>
      <c r="AJ517" t="e">
        <v>#VALUE!</v>
      </c>
      <c r="AK517" t="e">
        <v>#VALUE!</v>
      </c>
      <c r="AL517" t="s">
        <v>105</v>
      </c>
      <c r="AM517" t="e">
        <v>#VALUE!</v>
      </c>
    </row>
    <row r="518" spans="32:39" hidden="1">
      <c r="AF518" t="e">
        <v>#VALUE!</v>
      </c>
      <c r="AG518" t="e">
        <v>#VALUE!</v>
      </c>
      <c r="AH518" t="e">
        <v>#VALUE!</v>
      </c>
      <c r="AI518" t="e">
        <v>#VALUE!</v>
      </c>
      <c r="AJ518" t="e">
        <v>#VALUE!</v>
      </c>
      <c r="AK518" t="e">
        <v>#VALUE!</v>
      </c>
      <c r="AL518" t="s">
        <v>105</v>
      </c>
      <c r="AM518" t="e">
        <v>#VALUE!</v>
      </c>
    </row>
    <row r="519" spans="32:39" hidden="1">
      <c r="AF519" t="e">
        <v>#VALUE!</v>
      </c>
      <c r="AG519" t="e">
        <v>#VALUE!</v>
      </c>
      <c r="AH519" t="e">
        <v>#VALUE!</v>
      </c>
      <c r="AI519" t="e">
        <v>#VALUE!</v>
      </c>
      <c r="AJ519" t="e">
        <v>#VALUE!</v>
      </c>
      <c r="AK519" t="e">
        <v>#VALUE!</v>
      </c>
      <c r="AL519" t="s">
        <v>105</v>
      </c>
      <c r="AM519" t="e">
        <v>#VALUE!</v>
      </c>
    </row>
    <row r="520" spans="32:39" hidden="1">
      <c r="AF520" t="e">
        <v>#VALUE!</v>
      </c>
      <c r="AG520" t="e">
        <v>#VALUE!</v>
      </c>
      <c r="AH520" t="e">
        <v>#VALUE!</v>
      </c>
      <c r="AI520" t="e">
        <v>#VALUE!</v>
      </c>
      <c r="AJ520" t="e">
        <v>#VALUE!</v>
      </c>
      <c r="AK520" t="e">
        <v>#VALUE!</v>
      </c>
      <c r="AL520" t="s">
        <v>105</v>
      </c>
      <c r="AM520" t="e">
        <v>#VALUE!</v>
      </c>
    </row>
    <row r="521" spans="32:39" hidden="1">
      <c r="AF521" t="e">
        <v>#VALUE!</v>
      </c>
      <c r="AG521" t="e">
        <v>#VALUE!</v>
      </c>
      <c r="AH521" t="e">
        <v>#VALUE!</v>
      </c>
      <c r="AI521" t="e">
        <v>#VALUE!</v>
      </c>
      <c r="AJ521" t="e">
        <v>#VALUE!</v>
      </c>
      <c r="AK521" t="e">
        <v>#VALUE!</v>
      </c>
      <c r="AL521" t="s">
        <v>105</v>
      </c>
      <c r="AM521" t="e">
        <v>#VALUE!</v>
      </c>
    </row>
    <row r="522" spans="32:39" hidden="1">
      <c r="AF522" t="e">
        <v>#VALUE!</v>
      </c>
      <c r="AG522" t="e">
        <v>#VALUE!</v>
      </c>
      <c r="AH522" t="e">
        <v>#VALUE!</v>
      </c>
      <c r="AI522" t="e">
        <v>#VALUE!</v>
      </c>
      <c r="AJ522" t="e">
        <v>#VALUE!</v>
      </c>
      <c r="AK522" t="e">
        <v>#VALUE!</v>
      </c>
      <c r="AL522" t="s">
        <v>105</v>
      </c>
      <c r="AM522" t="e">
        <v>#VALUE!</v>
      </c>
    </row>
    <row r="523" spans="32:39" hidden="1">
      <c r="AF523" t="e">
        <v>#VALUE!</v>
      </c>
      <c r="AG523" t="e">
        <v>#VALUE!</v>
      </c>
      <c r="AH523" t="e">
        <v>#VALUE!</v>
      </c>
      <c r="AI523" t="e">
        <v>#VALUE!</v>
      </c>
      <c r="AJ523" t="e">
        <v>#VALUE!</v>
      </c>
      <c r="AK523" t="e">
        <v>#VALUE!</v>
      </c>
      <c r="AL523" t="s">
        <v>105</v>
      </c>
      <c r="AM523" t="e">
        <v>#VALUE!</v>
      </c>
    </row>
    <row r="524" spans="32:39" hidden="1">
      <c r="AF524" t="e">
        <v>#VALUE!</v>
      </c>
      <c r="AG524" t="e">
        <v>#VALUE!</v>
      </c>
      <c r="AH524" t="e">
        <v>#VALUE!</v>
      </c>
      <c r="AI524" t="e">
        <v>#VALUE!</v>
      </c>
      <c r="AJ524" t="e">
        <v>#VALUE!</v>
      </c>
      <c r="AK524" t="e">
        <v>#VALUE!</v>
      </c>
      <c r="AL524" t="s">
        <v>105</v>
      </c>
      <c r="AM524" t="e">
        <v>#VALUE!</v>
      </c>
    </row>
    <row r="525" spans="32:39" hidden="1">
      <c r="AF525" t="e">
        <v>#VALUE!</v>
      </c>
      <c r="AG525" t="e">
        <v>#VALUE!</v>
      </c>
      <c r="AH525" t="e">
        <v>#VALUE!</v>
      </c>
      <c r="AI525" t="e">
        <v>#VALUE!</v>
      </c>
      <c r="AJ525" t="e">
        <v>#VALUE!</v>
      </c>
      <c r="AK525" t="e">
        <v>#VALUE!</v>
      </c>
      <c r="AL525" t="s">
        <v>105</v>
      </c>
      <c r="AM525" t="e">
        <v>#VALUE!</v>
      </c>
    </row>
    <row r="526" spans="32:39" hidden="1">
      <c r="AF526" t="e">
        <v>#VALUE!</v>
      </c>
      <c r="AG526" t="e">
        <v>#VALUE!</v>
      </c>
      <c r="AH526" t="e">
        <v>#VALUE!</v>
      </c>
      <c r="AI526" t="e">
        <v>#VALUE!</v>
      </c>
      <c r="AJ526" t="e">
        <v>#VALUE!</v>
      </c>
      <c r="AK526" t="e">
        <v>#VALUE!</v>
      </c>
      <c r="AL526" t="s">
        <v>105</v>
      </c>
      <c r="AM526" t="e">
        <v>#VALUE!</v>
      </c>
    </row>
    <row r="527" spans="32:39" hidden="1">
      <c r="AF527" t="e">
        <v>#VALUE!</v>
      </c>
      <c r="AG527" t="e">
        <v>#VALUE!</v>
      </c>
      <c r="AH527" t="e">
        <v>#VALUE!</v>
      </c>
      <c r="AI527" t="e">
        <v>#VALUE!</v>
      </c>
      <c r="AJ527" t="e">
        <v>#VALUE!</v>
      </c>
      <c r="AK527" t="e">
        <v>#VALUE!</v>
      </c>
      <c r="AL527" t="s">
        <v>105</v>
      </c>
      <c r="AM527" t="e">
        <v>#VALUE!</v>
      </c>
    </row>
    <row r="528" spans="32:39" hidden="1">
      <c r="AF528" t="e">
        <v>#VALUE!</v>
      </c>
      <c r="AG528" t="e">
        <v>#VALUE!</v>
      </c>
      <c r="AH528" t="e">
        <v>#VALUE!</v>
      </c>
      <c r="AI528" t="e">
        <v>#VALUE!</v>
      </c>
      <c r="AJ528" t="e">
        <v>#VALUE!</v>
      </c>
      <c r="AK528" t="e">
        <v>#VALUE!</v>
      </c>
      <c r="AL528" t="s">
        <v>105</v>
      </c>
      <c r="AM528" t="e">
        <v>#VALUE!</v>
      </c>
    </row>
    <row r="529" spans="32:39" hidden="1">
      <c r="AF529" t="e">
        <v>#VALUE!</v>
      </c>
      <c r="AG529" t="e">
        <v>#VALUE!</v>
      </c>
      <c r="AH529" t="e">
        <v>#VALUE!</v>
      </c>
      <c r="AI529" t="e">
        <v>#VALUE!</v>
      </c>
      <c r="AJ529" t="e">
        <v>#VALUE!</v>
      </c>
      <c r="AK529" t="e">
        <v>#VALUE!</v>
      </c>
      <c r="AL529" t="s">
        <v>105</v>
      </c>
      <c r="AM529" t="e">
        <v>#VALUE!</v>
      </c>
    </row>
    <row r="530" spans="32:39" hidden="1">
      <c r="AF530" t="e">
        <v>#VALUE!</v>
      </c>
      <c r="AG530" t="e">
        <v>#VALUE!</v>
      </c>
      <c r="AH530" t="e">
        <v>#VALUE!</v>
      </c>
      <c r="AI530" t="e">
        <v>#VALUE!</v>
      </c>
      <c r="AJ530" t="e">
        <v>#VALUE!</v>
      </c>
      <c r="AK530" t="e">
        <v>#VALUE!</v>
      </c>
      <c r="AL530" t="s">
        <v>105</v>
      </c>
      <c r="AM530" t="e">
        <v>#VALUE!</v>
      </c>
    </row>
    <row r="531" spans="32:39" hidden="1">
      <c r="AF531" t="e">
        <v>#VALUE!</v>
      </c>
      <c r="AG531" t="e">
        <v>#VALUE!</v>
      </c>
      <c r="AH531" t="e">
        <v>#VALUE!</v>
      </c>
      <c r="AI531" t="e">
        <v>#VALUE!</v>
      </c>
      <c r="AJ531" t="e">
        <v>#VALUE!</v>
      </c>
      <c r="AK531" t="e">
        <v>#VALUE!</v>
      </c>
      <c r="AL531" t="s">
        <v>105</v>
      </c>
      <c r="AM531" t="e">
        <v>#VALUE!</v>
      </c>
    </row>
    <row r="532" spans="32:39" hidden="1">
      <c r="AF532" t="e">
        <v>#VALUE!</v>
      </c>
      <c r="AG532" t="e">
        <v>#VALUE!</v>
      </c>
      <c r="AH532" t="e">
        <v>#VALUE!</v>
      </c>
      <c r="AI532" t="e">
        <v>#VALUE!</v>
      </c>
      <c r="AJ532" t="e">
        <v>#VALUE!</v>
      </c>
      <c r="AK532" t="e">
        <v>#VALUE!</v>
      </c>
      <c r="AL532" t="s">
        <v>105</v>
      </c>
      <c r="AM532" t="e">
        <v>#VALUE!</v>
      </c>
    </row>
    <row r="533" spans="32:39" hidden="1">
      <c r="AF533" t="e">
        <v>#VALUE!</v>
      </c>
      <c r="AG533" t="e">
        <v>#VALUE!</v>
      </c>
      <c r="AH533" t="e">
        <v>#VALUE!</v>
      </c>
      <c r="AI533" t="e">
        <v>#VALUE!</v>
      </c>
      <c r="AJ533" t="e">
        <v>#VALUE!</v>
      </c>
      <c r="AK533" t="e">
        <v>#VALUE!</v>
      </c>
      <c r="AL533" t="s">
        <v>105</v>
      </c>
      <c r="AM533" t="e">
        <v>#VALUE!</v>
      </c>
    </row>
    <row r="534" spans="32:39" hidden="1">
      <c r="AF534" t="e">
        <v>#VALUE!</v>
      </c>
      <c r="AG534" t="e">
        <v>#VALUE!</v>
      </c>
      <c r="AH534" t="e">
        <v>#VALUE!</v>
      </c>
      <c r="AI534" t="e">
        <v>#VALUE!</v>
      </c>
      <c r="AJ534" t="e">
        <v>#VALUE!</v>
      </c>
      <c r="AK534" t="e">
        <v>#VALUE!</v>
      </c>
      <c r="AL534" t="s">
        <v>105</v>
      </c>
      <c r="AM534" t="e">
        <v>#VALUE!</v>
      </c>
    </row>
    <row r="535" spans="32:39" hidden="1">
      <c r="AF535" t="e">
        <v>#VALUE!</v>
      </c>
      <c r="AG535" t="e">
        <v>#VALUE!</v>
      </c>
      <c r="AH535" t="e">
        <v>#VALUE!</v>
      </c>
      <c r="AI535" t="e">
        <v>#VALUE!</v>
      </c>
      <c r="AJ535" t="e">
        <v>#VALUE!</v>
      </c>
      <c r="AK535" t="e">
        <v>#VALUE!</v>
      </c>
      <c r="AL535" t="s">
        <v>105</v>
      </c>
      <c r="AM535" t="e">
        <v>#VALUE!</v>
      </c>
    </row>
    <row r="536" spans="32:39" hidden="1">
      <c r="AF536" t="e">
        <v>#VALUE!</v>
      </c>
      <c r="AG536" t="e">
        <v>#VALUE!</v>
      </c>
      <c r="AH536" t="e">
        <v>#VALUE!</v>
      </c>
      <c r="AI536" t="e">
        <v>#VALUE!</v>
      </c>
      <c r="AJ536" t="e">
        <v>#VALUE!</v>
      </c>
      <c r="AK536" t="e">
        <v>#VALUE!</v>
      </c>
      <c r="AL536" t="s">
        <v>105</v>
      </c>
      <c r="AM536" t="e">
        <v>#VALUE!</v>
      </c>
    </row>
    <row r="537" spans="32:39" hidden="1">
      <c r="AF537" t="e">
        <v>#VALUE!</v>
      </c>
      <c r="AG537" t="e">
        <v>#VALUE!</v>
      </c>
      <c r="AH537" t="e">
        <v>#VALUE!</v>
      </c>
      <c r="AI537" t="e">
        <v>#VALUE!</v>
      </c>
      <c r="AJ537" t="e">
        <v>#VALUE!</v>
      </c>
      <c r="AK537" t="e">
        <v>#VALUE!</v>
      </c>
      <c r="AL537" t="s">
        <v>105</v>
      </c>
      <c r="AM537" t="e">
        <v>#VALUE!</v>
      </c>
    </row>
    <row r="538" spans="32:39" hidden="1">
      <c r="AF538" t="e">
        <v>#VALUE!</v>
      </c>
      <c r="AG538" t="e">
        <v>#VALUE!</v>
      </c>
      <c r="AH538" t="e">
        <v>#VALUE!</v>
      </c>
      <c r="AI538" t="e">
        <v>#VALUE!</v>
      </c>
      <c r="AJ538" t="e">
        <v>#VALUE!</v>
      </c>
      <c r="AK538" t="e">
        <v>#VALUE!</v>
      </c>
      <c r="AL538" t="s">
        <v>105</v>
      </c>
      <c r="AM538" t="e">
        <v>#VALUE!</v>
      </c>
    </row>
    <row r="539" spans="32:39" hidden="1">
      <c r="AF539" t="e">
        <v>#VALUE!</v>
      </c>
      <c r="AG539" t="e">
        <v>#VALUE!</v>
      </c>
      <c r="AH539" t="e">
        <v>#VALUE!</v>
      </c>
      <c r="AI539" t="e">
        <v>#VALUE!</v>
      </c>
      <c r="AJ539" t="e">
        <v>#VALUE!</v>
      </c>
      <c r="AK539" t="e">
        <v>#VALUE!</v>
      </c>
      <c r="AL539" t="s">
        <v>105</v>
      </c>
      <c r="AM539" t="e">
        <v>#VALUE!</v>
      </c>
    </row>
    <row r="540" spans="32:39" hidden="1">
      <c r="AF540" t="e">
        <v>#VALUE!</v>
      </c>
      <c r="AG540" t="e">
        <v>#VALUE!</v>
      </c>
      <c r="AH540" t="e">
        <v>#VALUE!</v>
      </c>
      <c r="AI540" t="e">
        <v>#VALUE!</v>
      </c>
      <c r="AJ540" t="e">
        <v>#VALUE!</v>
      </c>
      <c r="AK540" t="e">
        <v>#VALUE!</v>
      </c>
      <c r="AL540" t="s">
        <v>105</v>
      </c>
      <c r="AM540" t="e">
        <v>#VALUE!</v>
      </c>
    </row>
    <row r="541" spans="32:39" hidden="1">
      <c r="AF541" t="e">
        <v>#VALUE!</v>
      </c>
      <c r="AG541" t="e">
        <v>#VALUE!</v>
      </c>
      <c r="AH541" t="e">
        <v>#VALUE!</v>
      </c>
      <c r="AI541" t="e">
        <v>#VALUE!</v>
      </c>
      <c r="AJ541" t="e">
        <v>#VALUE!</v>
      </c>
      <c r="AK541" t="e">
        <v>#VALUE!</v>
      </c>
      <c r="AL541" t="s">
        <v>105</v>
      </c>
      <c r="AM541" t="e">
        <v>#VALUE!</v>
      </c>
    </row>
    <row r="542" spans="32:39" hidden="1">
      <c r="AF542" t="e">
        <v>#VALUE!</v>
      </c>
      <c r="AG542" t="e">
        <v>#VALUE!</v>
      </c>
      <c r="AH542" t="e">
        <v>#VALUE!</v>
      </c>
      <c r="AI542" t="e">
        <v>#VALUE!</v>
      </c>
      <c r="AJ542" t="e">
        <v>#VALUE!</v>
      </c>
      <c r="AK542" t="e">
        <v>#VALUE!</v>
      </c>
      <c r="AL542" t="s">
        <v>105</v>
      </c>
      <c r="AM542" t="e">
        <v>#VALUE!</v>
      </c>
    </row>
    <row r="543" spans="32:39" hidden="1">
      <c r="AF543" t="e">
        <v>#VALUE!</v>
      </c>
      <c r="AG543" t="e">
        <v>#VALUE!</v>
      </c>
      <c r="AH543" t="e">
        <v>#VALUE!</v>
      </c>
      <c r="AI543" t="e">
        <v>#VALUE!</v>
      </c>
      <c r="AJ543" t="e">
        <v>#VALUE!</v>
      </c>
      <c r="AK543" t="e">
        <v>#VALUE!</v>
      </c>
      <c r="AL543" t="s">
        <v>105</v>
      </c>
      <c r="AM543" t="e">
        <v>#VALUE!</v>
      </c>
    </row>
    <row r="544" spans="32:39" hidden="1">
      <c r="AF544" t="e">
        <v>#VALUE!</v>
      </c>
      <c r="AG544" t="e">
        <v>#VALUE!</v>
      </c>
      <c r="AH544" t="e">
        <v>#VALUE!</v>
      </c>
      <c r="AI544" t="e">
        <v>#VALUE!</v>
      </c>
      <c r="AJ544" t="e">
        <v>#VALUE!</v>
      </c>
      <c r="AK544" t="e">
        <v>#VALUE!</v>
      </c>
      <c r="AL544" t="s">
        <v>105</v>
      </c>
      <c r="AM544" t="e">
        <v>#VALUE!</v>
      </c>
    </row>
    <row r="545" spans="32:39" hidden="1">
      <c r="AF545" t="e">
        <v>#VALUE!</v>
      </c>
      <c r="AG545" t="e">
        <v>#VALUE!</v>
      </c>
      <c r="AH545" t="e">
        <v>#VALUE!</v>
      </c>
      <c r="AI545" t="e">
        <v>#VALUE!</v>
      </c>
      <c r="AJ545" t="e">
        <v>#VALUE!</v>
      </c>
      <c r="AK545" t="e">
        <v>#VALUE!</v>
      </c>
      <c r="AL545" t="s">
        <v>105</v>
      </c>
      <c r="AM545" t="e">
        <v>#VALUE!</v>
      </c>
    </row>
    <row r="546" spans="32:39" hidden="1">
      <c r="AF546" t="e">
        <v>#VALUE!</v>
      </c>
      <c r="AG546" t="e">
        <v>#VALUE!</v>
      </c>
      <c r="AH546" t="e">
        <v>#VALUE!</v>
      </c>
      <c r="AI546" t="e">
        <v>#VALUE!</v>
      </c>
      <c r="AJ546" t="e">
        <v>#VALUE!</v>
      </c>
      <c r="AK546" t="e">
        <v>#VALUE!</v>
      </c>
      <c r="AL546" t="s">
        <v>105</v>
      </c>
      <c r="AM546" t="e">
        <v>#VALUE!</v>
      </c>
    </row>
    <row r="547" spans="32:39" hidden="1">
      <c r="AF547" t="e">
        <v>#VALUE!</v>
      </c>
      <c r="AG547" t="e">
        <v>#VALUE!</v>
      </c>
      <c r="AH547" t="e">
        <v>#VALUE!</v>
      </c>
      <c r="AI547" t="e">
        <v>#VALUE!</v>
      </c>
      <c r="AJ547" t="e">
        <v>#VALUE!</v>
      </c>
      <c r="AK547" t="e">
        <v>#VALUE!</v>
      </c>
      <c r="AL547" t="s">
        <v>105</v>
      </c>
      <c r="AM547" t="e">
        <v>#VALUE!</v>
      </c>
    </row>
    <row r="548" spans="32:39" hidden="1">
      <c r="AF548" t="e">
        <v>#VALUE!</v>
      </c>
      <c r="AG548" t="e">
        <v>#VALUE!</v>
      </c>
      <c r="AH548" t="e">
        <v>#VALUE!</v>
      </c>
      <c r="AI548" t="e">
        <v>#VALUE!</v>
      </c>
      <c r="AJ548" t="e">
        <v>#VALUE!</v>
      </c>
      <c r="AK548" t="e">
        <v>#VALUE!</v>
      </c>
      <c r="AL548" t="s">
        <v>105</v>
      </c>
      <c r="AM548" t="e">
        <v>#VALUE!</v>
      </c>
    </row>
    <row r="549" spans="32:39" hidden="1">
      <c r="AF549" t="e">
        <v>#VALUE!</v>
      </c>
      <c r="AG549" t="e">
        <v>#VALUE!</v>
      </c>
      <c r="AH549" t="e">
        <v>#VALUE!</v>
      </c>
      <c r="AI549" t="e">
        <v>#VALUE!</v>
      </c>
      <c r="AJ549" t="e">
        <v>#VALUE!</v>
      </c>
      <c r="AK549" t="e">
        <v>#VALUE!</v>
      </c>
      <c r="AL549" t="s">
        <v>105</v>
      </c>
      <c r="AM549" t="e">
        <v>#VALUE!</v>
      </c>
    </row>
    <row r="550" spans="32:39" hidden="1">
      <c r="AF550" t="e">
        <v>#VALUE!</v>
      </c>
      <c r="AG550" t="e">
        <v>#VALUE!</v>
      </c>
      <c r="AH550" t="e">
        <v>#VALUE!</v>
      </c>
      <c r="AI550" t="e">
        <v>#VALUE!</v>
      </c>
      <c r="AJ550" t="e">
        <v>#VALUE!</v>
      </c>
      <c r="AK550" t="e">
        <v>#VALUE!</v>
      </c>
      <c r="AL550" t="s">
        <v>105</v>
      </c>
      <c r="AM550" t="e">
        <v>#VALUE!</v>
      </c>
    </row>
    <row r="551" spans="32:39" hidden="1">
      <c r="AF551" t="e">
        <v>#VALUE!</v>
      </c>
      <c r="AG551" t="e">
        <v>#VALUE!</v>
      </c>
      <c r="AH551" t="e">
        <v>#VALUE!</v>
      </c>
      <c r="AI551" t="e">
        <v>#VALUE!</v>
      </c>
      <c r="AJ551" t="e">
        <v>#VALUE!</v>
      </c>
      <c r="AK551" t="e">
        <v>#VALUE!</v>
      </c>
      <c r="AL551" t="s">
        <v>105</v>
      </c>
      <c r="AM551" t="e">
        <v>#VALUE!</v>
      </c>
    </row>
    <row r="552" spans="32:39" hidden="1">
      <c r="AF552" t="e">
        <v>#VALUE!</v>
      </c>
      <c r="AG552" t="e">
        <v>#VALUE!</v>
      </c>
      <c r="AH552" t="e">
        <v>#VALUE!</v>
      </c>
      <c r="AI552" t="e">
        <v>#VALUE!</v>
      </c>
      <c r="AJ552" t="e">
        <v>#VALUE!</v>
      </c>
      <c r="AK552" t="e">
        <v>#VALUE!</v>
      </c>
      <c r="AL552" t="s">
        <v>105</v>
      </c>
      <c r="AM552" t="e">
        <v>#VALUE!</v>
      </c>
    </row>
    <row r="553" spans="32:39" hidden="1">
      <c r="AF553" t="e">
        <v>#VALUE!</v>
      </c>
      <c r="AG553" t="e">
        <v>#VALUE!</v>
      </c>
      <c r="AH553" t="e">
        <v>#VALUE!</v>
      </c>
      <c r="AI553" t="e">
        <v>#VALUE!</v>
      </c>
      <c r="AJ553" t="e">
        <v>#VALUE!</v>
      </c>
      <c r="AK553" t="e">
        <v>#VALUE!</v>
      </c>
      <c r="AL553" t="s">
        <v>105</v>
      </c>
      <c r="AM553" t="e">
        <v>#VALUE!</v>
      </c>
    </row>
    <row r="554" spans="32:39" hidden="1">
      <c r="AF554" t="e">
        <v>#VALUE!</v>
      </c>
      <c r="AG554" t="e">
        <v>#VALUE!</v>
      </c>
      <c r="AH554" t="e">
        <v>#VALUE!</v>
      </c>
      <c r="AI554" t="e">
        <v>#VALUE!</v>
      </c>
      <c r="AJ554" t="e">
        <v>#VALUE!</v>
      </c>
      <c r="AK554" t="e">
        <v>#VALUE!</v>
      </c>
      <c r="AL554" t="s">
        <v>105</v>
      </c>
      <c r="AM554" t="e">
        <v>#VALUE!</v>
      </c>
    </row>
    <row r="555" spans="32:39" hidden="1">
      <c r="AF555" t="e">
        <v>#VALUE!</v>
      </c>
      <c r="AG555" t="e">
        <v>#VALUE!</v>
      </c>
      <c r="AH555" t="e">
        <v>#VALUE!</v>
      </c>
      <c r="AI555" t="e">
        <v>#VALUE!</v>
      </c>
      <c r="AJ555" t="e">
        <v>#VALUE!</v>
      </c>
      <c r="AK555" t="e">
        <v>#VALUE!</v>
      </c>
      <c r="AL555" t="s">
        <v>105</v>
      </c>
      <c r="AM555" t="e">
        <v>#VALUE!</v>
      </c>
    </row>
    <row r="556" spans="32:39" hidden="1">
      <c r="AF556" t="e">
        <v>#VALUE!</v>
      </c>
      <c r="AG556" t="e">
        <v>#VALUE!</v>
      </c>
      <c r="AH556" t="e">
        <v>#VALUE!</v>
      </c>
      <c r="AI556" t="e">
        <v>#VALUE!</v>
      </c>
      <c r="AJ556" t="e">
        <v>#VALUE!</v>
      </c>
      <c r="AK556" t="e">
        <v>#VALUE!</v>
      </c>
      <c r="AL556" t="s">
        <v>105</v>
      </c>
      <c r="AM556" t="e">
        <v>#VALUE!</v>
      </c>
    </row>
    <row r="557" spans="32:39" hidden="1">
      <c r="AF557" t="e">
        <v>#VALUE!</v>
      </c>
      <c r="AG557" t="e">
        <v>#VALUE!</v>
      </c>
      <c r="AH557" t="e">
        <v>#VALUE!</v>
      </c>
      <c r="AI557" t="e">
        <v>#VALUE!</v>
      </c>
      <c r="AJ557" t="e">
        <v>#VALUE!</v>
      </c>
      <c r="AK557" t="e">
        <v>#VALUE!</v>
      </c>
      <c r="AL557" t="s">
        <v>105</v>
      </c>
      <c r="AM557" t="e">
        <v>#VALUE!</v>
      </c>
    </row>
    <row r="558" spans="32:39" hidden="1">
      <c r="AF558" t="e">
        <v>#VALUE!</v>
      </c>
      <c r="AG558" t="e">
        <v>#VALUE!</v>
      </c>
      <c r="AH558" t="e">
        <v>#VALUE!</v>
      </c>
      <c r="AI558" t="e">
        <v>#VALUE!</v>
      </c>
      <c r="AJ558" t="e">
        <v>#VALUE!</v>
      </c>
      <c r="AK558" t="e">
        <v>#VALUE!</v>
      </c>
      <c r="AL558" t="s">
        <v>105</v>
      </c>
      <c r="AM558" t="e">
        <v>#VALUE!</v>
      </c>
    </row>
    <row r="559" spans="32:39" hidden="1">
      <c r="AF559" t="e">
        <v>#VALUE!</v>
      </c>
      <c r="AG559" t="e">
        <v>#VALUE!</v>
      </c>
      <c r="AH559" t="e">
        <v>#VALUE!</v>
      </c>
      <c r="AI559" t="e">
        <v>#VALUE!</v>
      </c>
      <c r="AJ559" t="e">
        <v>#VALUE!</v>
      </c>
      <c r="AK559" t="e">
        <v>#VALUE!</v>
      </c>
      <c r="AL559" t="s">
        <v>105</v>
      </c>
      <c r="AM559" t="e">
        <v>#VALUE!</v>
      </c>
    </row>
    <row r="560" spans="32:39" hidden="1">
      <c r="AF560" t="e">
        <v>#VALUE!</v>
      </c>
      <c r="AG560" t="e">
        <v>#VALUE!</v>
      </c>
      <c r="AH560" t="e">
        <v>#VALUE!</v>
      </c>
      <c r="AI560" t="e">
        <v>#VALUE!</v>
      </c>
      <c r="AJ560" t="e">
        <v>#VALUE!</v>
      </c>
      <c r="AK560" t="e">
        <v>#VALUE!</v>
      </c>
      <c r="AL560" t="s">
        <v>105</v>
      </c>
      <c r="AM560" t="e">
        <v>#VALUE!</v>
      </c>
    </row>
    <row r="561" spans="32:39" hidden="1">
      <c r="AF561" t="e">
        <v>#VALUE!</v>
      </c>
      <c r="AG561" t="e">
        <v>#VALUE!</v>
      </c>
      <c r="AH561" t="e">
        <v>#VALUE!</v>
      </c>
      <c r="AI561" t="e">
        <v>#VALUE!</v>
      </c>
      <c r="AJ561" t="e">
        <v>#VALUE!</v>
      </c>
      <c r="AK561" t="e">
        <v>#VALUE!</v>
      </c>
      <c r="AL561" t="s">
        <v>105</v>
      </c>
      <c r="AM561" t="e">
        <v>#VALUE!</v>
      </c>
    </row>
    <row r="562" spans="32:39" hidden="1">
      <c r="AF562" t="e">
        <v>#VALUE!</v>
      </c>
      <c r="AG562" t="e">
        <v>#VALUE!</v>
      </c>
      <c r="AH562" t="e">
        <v>#VALUE!</v>
      </c>
      <c r="AI562" t="e">
        <v>#VALUE!</v>
      </c>
      <c r="AJ562" t="e">
        <v>#VALUE!</v>
      </c>
      <c r="AK562" t="e">
        <v>#VALUE!</v>
      </c>
      <c r="AL562" t="s">
        <v>105</v>
      </c>
      <c r="AM562" t="e">
        <v>#VALUE!</v>
      </c>
    </row>
    <row r="563" spans="32:39" hidden="1">
      <c r="AF563" t="e">
        <v>#VALUE!</v>
      </c>
      <c r="AG563" t="e">
        <v>#VALUE!</v>
      </c>
      <c r="AH563" t="e">
        <v>#VALUE!</v>
      </c>
      <c r="AI563" t="e">
        <v>#VALUE!</v>
      </c>
      <c r="AJ563" t="e">
        <v>#VALUE!</v>
      </c>
      <c r="AK563" t="e">
        <v>#VALUE!</v>
      </c>
      <c r="AL563" t="s">
        <v>105</v>
      </c>
      <c r="AM563" t="e">
        <v>#VALUE!</v>
      </c>
    </row>
    <row r="564" spans="32:39" hidden="1">
      <c r="AF564" t="e">
        <v>#VALUE!</v>
      </c>
      <c r="AG564" t="e">
        <v>#VALUE!</v>
      </c>
      <c r="AH564" t="e">
        <v>#VALUE!</v>
      </c>
      <c r="AI564" t="e">
        <v>#VALUE!</v>
      </c>
      <c r="AJ564" t="e">
        <v>#VALUE!</v>
      </c>
      <c r="AK564" t="e">
        <v>#VALUE!</v>
      </c>
      <c r="AL564" t="s">
        <v>105</v>
      </c>
      <c r="AM564" t="e">
        <v>#VALUE!</v>
      </c>
    </row>
    <row r="565" spans="32:39" hidden="1">
      <c r="AF565" t="e">
        <v>#VALUE!</v>
      </c>
      <c r="AG565" t="e">
        <v>#VALUE!</v>
      </c>
      <c r="AH565" t="e">
        <v>#VALUE!</v>
      </c>
      <c r="AI565" t="e">
        <v>#VALUE!</v>
      </c>
      <c r="AJ565" t="e">
        <v>#VALUE!</v>
      </c>
      <c r="AK565" t="e">
        <v>#VALUE!</v>
      </c>
      <c r="AL565" t="s">
        <v>105</v>
      </c>
      <c r="AM565" t="e">
        <v>#VALUE!</v>
      </c>
    </row>
    <row r="566" spans="32:39" hidden="1">
      <c r="AF566" t="e">
        <v>#VALUE!</v>
      </c>
      <c r="AG566" t="e">
        <v>#VALUE!</v>
      </c>
      <c r="AH566" t="e">
        <v>#VALUE!</v>
      </c>
      <c r="AI566" t="e">
        <v>#VALUE!</v>
      </c>
      <c r="AJ566" t="e">
        <v>#VALUE!</v>
      </c>
      <c r="AK566" t="e">
        <v>#VALUE!</v>
      </c>
      <c r="AL566" t="s">
        <v>105</v>
      </c>
      <c r="AM566" t="e">
        <v>#VALUE!</v>
      </c>
    </row>
    <row r="567" spans="32:39" hidden="1">
      <c r="AF567" t="e">
        <v>#VALUE!</v>
      </c>
      <c r="AG567" t="e">
        <v>#VALUE!</v>
      </c>
      <c r="AH567" t="e">
        <v>#VALUE!</v>
      </c>
      <c r="AI567" t="e">
        <v>#VALUE!</v>
      </c>
      <c r="AJ567" t="e">
        <v>#VALUE!</v>
      </c>
      <c r="AK567" t="e">
        <v>#VALUE!</v>
      </c>
      <c r="AL567" t="s">
        <v>105</v>
      </c>
      <c r="AM567" t="e">
        <v>#VALUE!</v>
      </c>
    </row>
    <row r="568" spans="32:39" hidden="1">
      <c r="AF568" t="e">
        <v>#VALUE!</v>
      </c>
      <c r="AG568" t="e">
        <v>#VALUE!</v>
      </c>
      <c r="AH568" t="e">
        <v>#VALUE!</v>
      </c>
      <c r="AI568" t="e">
        <v>#VALUE!</v>
      </c>
      <c r="AJ568" t="e">
        <v>#VALUE!</v>
      </c>
      <c r="AK568" t="e">
        <v>#VALUE!</v>
      </c>
      <c r="AL568" t="s">
        <v>105</v>
      </c>
      <c r="AM568" t="e">
        <v>#VALUE!</v>
      </c>
    </row>
    <row r="569" spans="32:39" hidden="1">
      <c r="AF569" t="e">
        <v>#VALUE!</v>
      </c>
      <c r="AG569" t="e">
        <v>#VALUE!</v>
      </c>
      <c r="AH569" t="e">
        <v>#VALUE!</v>
      </c>
      <c r="AI569" t="e">
        <v>#VALUE!</v>
      </c>
      <c r="AJ569" t="e">
        <v>#VALUE!</v>
      </c>
      <c r="AK569" t="e">
        <v>#VALUE!</v>
      </c>
      <c r="AL569" t="s">
        <v>105</v>
      </c>
      <c r="AM569" t="e">
        <v>#VALUE!</v>
      </c>
    </row>
    <row r="570" spans="32:39" hidden="1">
      <c r="AF570" t="e">
        <v>#VALUE!</v>
      </c>
      <c r="AG570" t="e">
        <v>#VALUE!</v>
      </c>
      <c r="AH570" t="e">
        <v>#VALUE!</v>
      </c>
      <c r="AI570" t="e">
        <v>#VALUE!</v>
      </c>
      <c r="AJ570" t="e">
        <v>#VALUE!</v>
      </c>
      <c r="AK570" t="e">
        <v>#VALUE!</v>
      </c>
      <c r="AL570" t="s">
        <v>105</v>
      </c>
      <c r="AM570" t="e">
        <v>#VALUE!</v>
      </c>
    </row>
    <row r="571" spans="32:39" hidden="1">
      <c r="AF571" t="e">
        <v>#VALUE!</v>
      </c>
      <c r="AG571" t="e">
        <v>#VALUE!</v>
      </c>
      <c r="AH571" t="e">
        <v>#VALUE!</v>
      </c>
      <c r="AI571" t="e">
        <v>#VALUE!</v>
      </c>
      <c r="AJ571" t="e">
        <v>#VALUE!</v>
      </c>
      <c r="AK571" t="e">
        <v>#VALUE!</v>
      </c>
      <c r="AL571" t="s">
        <v>105</v>
      </c>
      <c r="AM571" t="e">
        <v>#VALUE!</v>
      </c>
    </row>
    <row r="572" spans="32:39" hidden="1">
      <c r="AF572" t="e">
        <v>#VALUE!</v>
      </c>
      <c r="AG572" t="e">
        <v>#VALUE!</v>
      </c>
      <c r="AH572" t="e">
        <v>#VALUE!</v>
      </c>
      <c r="AI572" t="e">
        <v>#VALUE!</v>
      </c>
      <c r="AJ572" t="e">
        <v>#VALUE!</v>
      </c>
      <c r="AK572" t="e">
        <v>#VALUE!</v>
      </c>
      <c r="AL572" t="s">
        <v>105</v>
      </c>
      <c r="AM572" t="e">
        <v>#VALUE!</v>
      </c>
    </row>
    <row r="573" spans="32:39" hidden="1">
      <c r="AF573" t="e">
        <v>#VALUE!</v>
      </c>
      <c r="AG573" t="e">
        <v>#VALUE!</v>
      </c>
      <c r="AH573" t="e">
        <v>#VALUE!</v>
      </c>
      <c r="AI573" t="e">
        <v>#VALUE!</v>
      </c>
      <c r="AJ573" t="e">
        <v>#VALUE!</v>
      </c>
      <c r="AK573" t="e">
        <v>#VALUE!</v>
      </c>
      <c r="AL573" t="s">
        <v>105</v>
      </c>
      <c r="AM573" t="e">
        <v>#VALUE!</v>
      </c>
    </row>
    <row r="574" spans="32:39" hidden="1">
      <c r="AF574" t="e">
        <v>#VALUE!</v>
      </c>
      <c r="AG574" t="e">
        <v>#VALUE!</v>
      </c>
      <c r="AH574" t="e">
        <v>#VALUE!</v>
      </c>
      <c r="AI574" t="e">
        <v>#VALUE!</v>
      </c>
      <c r="AJ574" t="e">
        <v>#VALUE!</v>
      </c>
      <c r="AK574" t="e">
        <v>#VALUE!</v>
      </c>
      <c r="AL574" t="s">
        <v>105</v>
      </c>
      <c r="AM574" t="e">
        <v>#VALUE!</v>
      </c>
    </row>
    <row r="575" spans="32:39" hidden="1">
      <c r="AF575" t="e">
        <v>#VALUE!</v>
      </c>
      <c r="AG575" t="e">
        <v>#VALUE!</v>
      </c>
      <c r="AH575" t="e">
        <v>#VALUE!</v>
      </c>
      <c r="AI575" t="e">
        <v>#VALUE!</v>
      </c>
      <c r="AJ575" t="e">
        <v>#VALUE!</v>
      </c>
      <c r="AK575" t="e">
        <v>#VALUE!</v>
      </c>
      <c r="AL575" t="s">
        <v>105</v>
      </c>
      <c r="AM575" t="e">
        <v>#VALUE!</v>
      </c>
    </row>
    <row r="576" spans="32:39" hidden="1">
      <c r="AF576" t="e">
        <v>#VALUE!</v>
      </c>
      <c r="AG576" t="e">
        <v>#VALUE!</v>
      </c>
      <c r="AH576" t="e">
        <v>#VALUE!</v>
      </c>
      <c r="AI576" t="e">
        <v>#VALUE!</v>
      </c>
      <c r="AJ576" t="e">
        <v>#VALUE!</v>
      </c>
      <c r="AK576" t="e">
        <v>#VALUE!</v>
      </c>
      <c r="AL576" t="s">
        <v>105</v>
      </c>
      <c r="AM576" t="e">
        <v>#VALUE!</v>
      </c>
    </row>
    <row r="577" spans="32:39" hidden="1">
      <c r="AF577" t="e">
        <v>#VALUE!</v>
      </c>
      <c r="AG577" t="e">
        <v>#VALUE!</v>
      </c>
      <c r="AH577" t="e">
        <v>#VALUE!</v>
      </c>
      <c r="AI577" t="e">
        <v>#VALUE!</v>
      </c>
      <c r="AJ577" t="e">
        <v>#VALUE!</v>
      </c>
      <c r="AK577" t="e">
        <v>#VALUE!</v>
      </c>
      <c r="AL577" t="s">
        <v>105</v>
      </c>
      <c r="AM577" t="e">
        <v>#VALUE!</v>
      </c>
    </row>
    <row r="578" spans="32:39" hidden="1">
      <c r="AF578" t="e">
        <v>#VALUE!</v>
      </c>
      <c r="AG578" t="e">
        <v>#VALUE!</v>
      </c>
      <c r="AH578" t="e">
        <v>#VALUE!</v>
      </c>
      <c r="AI578" t="e">
        <v>#VALUE!</v>
      </c>
      <c r="AJ578" t="e">
        <v>#VALUE!</v>
      </c>
      <c r="AK578" t="e">
        <v>#VALUE!</v>
      </c>
      <c r="AL578" t="s">
        <v>105</v>
      </c>
      <c r="AM578" t="e">
        <v>#VALUE!</v>
      </c>
    </row>
    <row r="579" spans="32:39" hidden="1">
      <c r="AF579" t="e">
        <v>#VALUE!</v>
      </c>
      <c r="AG579" t="e">
        <v>#VALUE!</v>
      </c>
      <c r="AH579" t="e">
        <v>#VALUE!</v>
      </c>
      <c r="AI579" t="e">
        <v>#VALUE!</v>
      </c>
      <c r="AJ579" t="e">
        <v>#VALUE!</v>
      </c>
      <c r="AK579" t="e">
        <v>#VALUE!</v>
      </c>
      <c r="AL579" t="s">
        <v>105</v>
      </c>
      <c r="AM579" t="e">
        <v>#VALUE!</v>
      </c>
    </row>
    <row r="580" spans="32:39" hidden="1">
      <c r="AF580" t="e">
        <v>#VALUE!</v>
      </c>
      <c r="AG580" t="e">
        <v>#VALUE!</v>
      </c>
      <c r="AH580" t="e">
        <v>#VALUE!</v>
      </c>
      <c r="AI580" t="e">
        <v>#VALUE!</v>
      </c>
      <c r="AJ580" t="e">
        <v>#VALUE!</v>
      </c>
      <c r="AK580" t="e">
        <v>#VALUE!</v>
      </c>
      <c r="AL580" t="s">
        <v>105</v>
      </c>
      <c r="AM580" t="e">
        <v>#VALUE!</v>
      </c>
    </row>
    <row r="581" spans="32:39" hidden="1">
      <c r="AF581" t="e">
        <v>#VALUE!</v>
      </c>
      <c r="AG581" t="e">
        <v>#VALUE!</v>
      </c>
      <c r="AH581" t="e">
        <v>#VALUE!</v>
      </c>
      <c r="AI581" t="e">
        <v>#VALUE!</v>
      </c>
      <c r="AJ581" t="e">
        <v>#VALUE!</v>
      </c>
      <c r="AK581" t="e">
        <v>#VALUE!</v>
      </c>
      <c r="AL581" t="s">
        <v>105</v>
      </c>
      <c r="AM581" t="e">
        <v>#VALUE!</v>
      </c>
    </row>
    <row r="582" spans="32:39" hidden="1">
      <c r="AF582" t="e">
        <v>#VALUE!</v>
      </c>
      <c r="AG582" t="e">
        <v>#VALUE!</v>
      </c>
      <c r="AH582" t="e">
        <v>#VALUE!</v>
      </c>
      <c r="AI582" t="e">
        <v>#VALUE!</v>
      </c>
      <c r="AJ582" t="e">
        <v>#VALUE!</v>
      </c>
      <c r="AK582" t="e">
        <v>#VALUE!</v>
      </c>
      <c r="AL582" t="s">
        <v>105</v>
      </c>
      <c r="AM582" t="e">
        <v>#VALUE!</v>
      </c>
    </row>
    <row r="583" spans="32:39" hidden="1">
      <c r="AF583" t="e">
        <v>#VALUE!</v>
      </c>
      <c r="AG583" t="e">
        <v>#VALUE!</v>
      </c>
      <c r="AH583" t="e">
        <v>#VALUE!</v>
      </c>
      <c r="AI583" t="e">
        <v>#VALUE!</v>
      </c>
      <c r="AJ583" t="e">
        <v>#VALUE!</v>
      </c>
      <c r="AK583" t="e">
        <v>#VALUE!</v>
      </c>
      <c r="AL583" t="s">
        <v>105</v>
      </c>
      <c r="AM583" t="e">
        <v>#VALUE!</v>
      </c>
    </row>
    <row r="584" spans="32:39" hidden="1">
      <c r="AF584" t="e">
        <v>#VALUE!</v>
      </c>
      <c r="AG584" t="e">
        <v>#VALUE!</v>
      </c>
      <c r="AH584" t="e">
        <v>#VALUE!</v>
      </c>
      <c r="AI584" t="e">
        <v>#VALUE!</v>
      </c>
      <c r="AJ584" t="e">
        <v>#VALUE!</v>
      </c>
      <c r="AK584" t="e">
        <v>#VALUE!</v>
      </c>
      <c r="AL584" t="s">
        <v>105</v>
      </c>
      <c r="AM584" t="e">
        <v>#VALUE!</v>
      </c>
    </row>
    <row r="585" spans="32:39" hidden="1">
      <c r="AF585" t="e">
        <v>#VALUE!</v>
      </c>
      <c r="AG585" t="e">
        <v>#VALUE!</v>
      </c>
      <c r="AH585" t="e">
        <v>#VALUE!</v>
      </c>
      <c r="AI585" t="e">
        <v>#VALUE!</v>
      </c>
      <c r="AJ585" t="e">
        <v>#VALUE!</v>
      </c>
      <c r="AK585" t="e">
        <v>#VALUE!</v>
      </c>
      <c r="AL585" t="s">
        <v>105</v>
      </c>
      <c r="AM585" t="e">
        <v>#VALUE!</v>
      </c>
    </row>
    <row r="586" spans="32:39" hidden="1">
      <c r="AF586" t="e">
        <v>#VALUE!</v>
      </c>
      <c r="AG586" t="e">
        <v>#VALUE!</v>
      </c>
      <c r="AH586" t="e">
        <v>#VALUE!</v>
      </c>
      <c r="AI586" t="e">
        <v>#VALUE!</v>
      </c>
      <c r="AJ586" t="e">
        <v>#VALUE!</v>
      </c>
      <c r="AK586" t="e">
        <v>#VALUE!</v>
      </c>
      <c r="AL586" t="s">
        <v>105</v>
      </c>
      <c r="AM586" t="e">
        <v>#VALUE!</v>
      </c>
    </row>
    <row r="587" spans="32:39" hidden="1">
      <c r="AF587" t="e">
        <v>#VALUE!</v>
      </c>
      <c r="AG587" t="e">
        <v>#VALUE!</v>
      </c>
      <c r="AH587" t="e">
        <v>#VALUE!</v>
      </c>
      <c r="AI587" t="e">
        <v>#VALUE!</v>
      </c>
      <c r="AJ587" t="e">
        <v>#VALUE!</v>
      </c>
      <c r="AK587" t="e">
        <v>#VALUE!</v>
      </c>
      <c r="AL587" t="s">
        <v>105</v>
      </c>
      <c r="AM587" t="e">
        <v>#VALUE!</v>
      </c>
    </row>
    <row r="588" spans="32:39" hidden="1">
      <c r="AF588" t="e">
        <v>#VALUE!</v>
      </c>
      <c r="AG588" t="e">
        <v>#VALUE!</v>
      </c>
      <c r="AH588" t="e">
        <v>#VALUE!</v>
      </c>
      <c r="AI588" t="e">
        <v>#VALUE!</v>
      </c>
      <c r="AJ588" t="e">
        <v>#VALUE!</v>
      </c>
      <c r="AK588" t="e">
        <v>#VALUE!</v>
      </c>
      <c r="AL588" t="s">
        <v>105</v>
      </c>
      <c r="AM588" t="e">
        <v>#VALUE!</v>
      </c>
    </row>
    <row r="589" spans="32:39" hidden="1">
      <c r="AF589" t="e">
        <v>#VALUE!</v>
      </c>
      <c r="AG589" t="e">
        <v>#VALUE!</v>
      </c>
      <c r="AH589" t="e">
        <v>#VALUE!</v>
      </c>
      <c r="AI589" t="e">
        <v>#VALUE!</v>
      </c>
      <c r="AJ589" t="e">
        <v>#VALUE!</v>
      </c>
      <c r="AK589" t="e">
        <v>#VALUE!</v>
      </c>
      <c r="AL589" t="s">
        <v>105</v>
      </c>
      <c r="AM589" t="e">
        <v>#VALUE!</v>
      </c>
    </row>
    <row r="590" spans="32:39" hidden="1">
      <c r="AF590" t="e">
        <v>#VALUE!</v>
      </c>
      <c r="AG590" t="e">
        <v>#VALUE!</v>
      </c>
      <c r="AH590" t="e">
        <v>#VALUE!</v>
      </c>
      <c r="AI590" t="e">
        <v>#VALUE!</v>
      </c>
      <c r="AJ590" t="e">
        <v>#VALUE!</v>
      </c>
      <c r="AK590" t="e">
        <v>#VALUE!</v>
      </c>
      <c r="AL590" t="s">
        <v>105</v>
      </c>
      <c r="AM590" t="e">
        <v>#VALUE!</v>
      </c>
    </row>
    <row r="591" spans="32:39" hidden="1">
      <c r="AF591" t="e">
        <v>#VALUE!</v>
      </c>
      <c r="AG591" t="e">
        <v>#VALUE!</v>
      </c>
      <c r="AH591" t="e">
        <v>#VALUE!</v>
      </c>
      <c r="AI591" t="e">
        <v>#VALUE!</v>
      </c>
      <c r="AJ591" t="e">
        <v>#VALUE!</v>
      </c>
      <c r="AK591" t="e">
        <v>#VALUE!</v>
      </c>
      <c r="AL591" t="s">
        <v>105</v>
      </c>
      <c r="AM591" t="e">
        <v>#VALUE!</v>
      </c>
    </row>
    <row r="592" spans="32:39" hidden="1">
      <c r="AF592" t="e">
        <v>#VALUE!</v>
      </c>
      <c r="AG592" t="e">
        <v>#VALUE!</v>
      </c>
      <c r="AH592" t="e">
        <v>#VALUE!</v>
      </c>
      <c r="AI592" t="e">
        <v>#VALUE!</v>
      </c>
      <c r="AJ592" t="e">
        <v>#VALUE!</v>
      </c>
      <c r="AK592" t="e">
        <v>#VALUE!</v>
      </c>
      <c r="AL592" t="s">
        <v>105</v>
      </c>
      <c r="AM592" t="e">
        <v>#VALUE!</v>
      </c>
    </row>
    <row r="593" spans="32:39" hidden="1">
      <c r="AF593" t="e">
        <v>#VALUE!</v>
      </c>
      <c r="AG593" t="e">
        <v>#VALUE!</v>
      </c>
      <c r="AH593" t="e">
        <v>#VALUE!</v>
      </c>
      <c r="AI593" t="e">
        <v>#VALUE!</v>
      </c>
      <c r="AJ593" t="e">
        <v>#VALUE!</v>
      </c>
      <c r="AK593" t="e">
        <v>#VALUE!</v>
      </c>
      <c r="AL593" t="s">
        <v>105</v>
      </c>
      <c r="AM593" t="e">
        <v>#VALUE!</v>
      </c>
    </row>
    <row r="594" spans="32:39" hidden="1">
      <c r="AF594" t="e">
        <v>#VALUE!</v>
      </c>
      <c r="AG594" t="e">
        <v>#VALUE!</v>
      </c>
      <c r="AH594" t="e">
        <v>#VALUE!</v>
      </c>
      <c r="AI594" t="e">
        <v>#VALUE!</v>
      </c>
      <c r="AJ594" t="e">
        <v>#VALUE!</v>
      </c>
      <c r="AK594" t="e">
        <v>#VALUE!</v>
      </c>
      <c r="AL594" t="s">
        <v>105</v>
      </c>
      <c r="AM594" t="e">
        <v>#VALUE!</v>
      </c>
    </row>
    <row r="595" spans="32:39" hidden="1">
      <c r="AF595" t="e">
        <v>#VALUE!</v>
      </c>
      <c r="AG595" t="e">
        <v>#VALUE!</v>
      </c>
      <c r="AH595" t="e">
        <v>#VALUE!</v>
      </c>
      <c r="AI595" t="e">
        <v>#VALUE!</v>
      </c>
      <c r="AJ595" t="e">
        <v>#VALUE!</v>
      </c>
      <c r="AK595" t="e">
        <v>#VALUE!</v>
      </c>
      <c r="AL595" t="s">
        <v>105</v>
      </c>
      <c r="AM595" t="e">
        <v>#VALUE!</v>
      </c>
    </row>
    <row r="596" spans="32:39" hidden="1">
      <c r="AF596" t="e">
        <v>#VALUE!</v>
      </c>
      <c r="AG596" t="e">
        <v>#VALUE!</v>
      </c>
      <c r="AH596" t="e">
        <v>#VALUE!</v>
      </c>
      <c r="AI596" t="e">
        <v>#VALUE!</v>
      </c>
      <c r="AJ596" t="e">
        <v>#VALUE!</v>
      </c>
      <c r="AK596" t="e">
        <v>#VALUE!</v>
      </c>
      <c r="AL596" t="s">
        <v>105</v>
      </c>
      <c r="AM596" t="e">
        <v>#VALUE!</v>
      </c>
    </row>
    <row r="597" spans="32:39" hidden="1">
      <c r="AF597" t="e">
        <v>#VALUE!</v>
      </c>
      <c r="AG597" t="e">
        <v>#VALUE!</v>
      </c>
      <c r="AH597" t="e">
        <v>#VALUE!</v>
      </c>
      <c r="AI597" t="e">
        <v>#VALUE!</v>
      </c>
      <c r="AJ597" t="e">
        <v>#VALUE!</v>
      </c>
      <c r="AK597" t="e">
        <v>#VALUE!</v>
      </c>
      <c r="AL597" t="s">
        <v>105</v>
      </c>
      <c r="AM597" t="e">
        <v>#VALUE!</v>
      </c>
    </row>
    <row r="598" spans="32:39" hidden="1">
      <c r="AF598" t="e">
        <v>#VALUE!</v>
      </c>
      <c r="AG598" t="e">
        <v>#VALUE!</v>
      </c>
      <c r="AH598" t="e">
        <v>#VALUE!</v>
      </c>
      <c r="AI598" t="e">
        <v>#VALUE!</v>
      </c>
      <c r="AJ598" t="e">
        <v>#VALUE!</v>
      </c>
      <c r="AK598" t="e">
        <v>#VALUE!</v>
      </c>
      <c r="AL598" t="s">
        <v>105</v>
      </c>
      <c r="AM598" t="e">
        <v>#VALUE!</v>
      </c>
    </row>
    <row r="599" spans="32:39" hidden="1">
      <c r="AF599" t="e">
        <v>#VALUE!</v>
      </c>
      <c r="AG599" t="e">
        <v>#VALUE!</v>
      </c>
      <c r="AH599" t="e">
        <v>#VALUE!</v>
      </c>
      <c r="AI599" t="e">
        <v>#VALUE!</v>
      </c>
      <c r="AJ599" t="e">
        <v>#VALUE!</v>
      </c>
      <c r="AK599" t="e">
        <v>#VALUE!</v>
      </c>
      <c r="AL599" t="s">
        <v>105</v>
      </c>
      <c r="AM599" t="e">
        <v>#VALUE!</v>
      </c>
    </row>
    <row r="600" spans="32:39" hidden="1">
      <c r="AF600" t="e">
        <v>#VALUE!</v>
      </c>
      <c r="AG600" t="e">
        <v>#VALUE!</v>
      </c>
      <c r="AH600" t="e">
        <v>#VALUE!</v>
      </c>
      <c r="AI600" t="e">
        <v>#VALUE!</v>
      </c>
      <c r="AJ600" t="e">
        <v>#VALUE!</v>
      </c>
      <c r="AK600" t="e">
        <v>#VALUE!</v>
      </c>
      <c r="AL600" t="s">
        <v>105</v>
      </c>
      <c r="AM600" t="e">
        <v>#VALUE!</v>
      </c>
    </row>
    <row r="601" spans="32:39" hidden="1">
      <c r="AF601" t="e">
        <v>#VALUE!</v>
      </c>
      <c r="AG601" t="e">
        <v>#VALUE!</v>
      </c>
      <c r="AH601" t="e">
        <v>#VALUE!</v>
      </c>
      <c r="AI601" t="e">
        <v>#VALUE!</v>
      </c>
      <c r="AJ601" t="e">
        <v>#VALUE!</v>
      </c>
      <c r="AK601" t="e">
        <v>#VALUE!</v>
      </c>
      <c r="AL601" t="s">
        <v>105</v>
      </c>
      <c r="AM601" t="e">
        <v>#VALUE!</v>
      </c>
    </row>
    <row r="602" spans="32:39" hidden="1">
      <c r="AF602" t="e">
        <v>#VALUE!</v>
      </c>
      <c r="AG602" t="e">
        <v>#VALUE!</v>
      </c>
      <c r="AH602" t="e">
        <v>#VALUE!</v>
      </c>
      <c r="AI602" t="e">
        <v>#VALUE!</v>
      </c>
      <c r="AJ602" t="e">
        <v>#VALUE!</v>
      </c>
      <c r="AK602" t="e">
        <v>#VALUE!</v>
      </c>
      <c r="AL602" t="s">
        <v>105</v>
      </c>
      <c r="AM602" t="e">
        <v>#VALUE!</v>
      </c>
    </row>
    <row r="603" spans="32:39" hidden="1">
      <c r="AF603" t="e">
        <v>#VALUE!</v>
      </c>
      <c r="AG603" t="s">
        <v>166</v>
      </c>
      <c r="AH603" t="e">
        <v>#VALUE!</v>
      </c>
      <c r="AI603" t="e">
        <v>#VALUE!</v>
      </c>
      <c r="AJ603" t="s">
        <v>104</v>
      </c>
      <c r="AK603" t="e">
        <v>#VALUE!</v>
      </c>
      <c r="AL603" t="s">
        <v>105</v>
      </c>
      <c r="AM603" t="e">
        <v>#VALUE!</v>
      </c>
    </row>
    <row r="604" spans="32:39" hidden="1">
      <c r="AF604" t="e">
        <v>#VALUE!</v>
      </c>
      <c r="AG604" t="e">
        <v>#VALUE!</v>
      </c>
      <c r="AH604" t="e">
        <v>#VALUE!</v>
      </c>
      <c r="AI604" t="e">
        <v>#VALUE!</v>
      </c>
      <c r="AJ604" t="e">
        <v>#VALUE!</v>
      </c>
      <c r="AK604" t="e">
        <v>#VALUE!</v>
      </c>
      <c r="AL604" t="s">
        <v>105</v>
      </c>
      <c r="AM604" t="e">
        <v>#VALUE!</v>
      </c>
    </row>
    <row r="605" spans="32:39" hidden="1">
      <c r="AF605" t="e">
        <v>#VALUE!</v>
      </c>
      <c r="AG605" t="e">
        <v>#VALUE!</v>
      </c>
      <c r="AH605" t="e">
        <v>#VALUE!</v>
      </c>
      <c r="AI605" t="e">
        <v>#VALUE!</v>
      </c>
      <c r="AJ605" t="e">
        <v>#VALUE!</v>
      </c>
      <c r="AK605" t="e">
        <v>#VALUE!</v>
      </c>
      <c r="AL605" t="s">
        <v>105</v>
      </c>
      <c r="AM605" t="e">
        <v>#VALUE!</v>
      </c>
    </row>
    <row r="606" spans="32:39" hidden="1">
      <c r="AF606" t="e">
        <v>#VALUE!</v>
      </c>
      <c r="AG606" t="e">
        <v>#VALUE!</v>
      </c>
      <c r="AH606" t="e">
        <v>#VALUE!</v>
      </c>
      <c r="AI606" t="e">
        <v>#VALUE!</v>
      </c>
      <c r="AJ606" t="e">
        <v>#VALUE!</v>
      </c>
      <c r="AK606" t="e">
        <v>#VALUE!</v>
      </c>
      <c r="AL606" t="s">
        <v>105</v>
      </c>
      <c r="AM606" t="e">
        <v>#VALUE!</v>
      </c>
    </row>
    <row r="607" spans="32:39" hidden="1">
      <c r="AF607" t="e">
        <v>#VALUE!</v>
      </c>
      <c r="AG607" t="e">
        <v>#VALUE!</v>
      </c>
      <c r="AH607" t="e">
        <v>#VALUE!</v>
      </c>
      <c r="AI607" t="e">
        <v>#VALUE!</v>
      </c>
      <c r="AJ607" t="e">
        <v>#VALUE!</v>
      </c>
      <c r="AK607" t="e">
        <v>#VALUE!</v>
      </c>
      <c r="AL607" t="s">
        <v>105</v>
      </c>
      <c r="AM607" t="e">
        <v>#VALUE!</v>
      </c>
    </row>
    <row r="608" spans="32:39" hidden="1">
      <c r="AF608" t="e">
        <v>#VALUE!</v>
      </c>
      <c r="AG608" t="e">
        <v>#VALUE!</v>
      </c>
      <c r="AH608" t="e">
        <v>#VALUE!</v>
      </c>
      <c r="AI608" t="e">
        <v>#VALUE!</v>
      </c>
      <c r="AJ608" t="e">
        <v>#VALUE!</v>
      </c>
      <c r="AK608" t="e">
        <v>#VALUE!</v>
      </c>
      <c r="AL608" t="s">
        <v>105</v>
      </c>
      <c r="AM608" t="e">
        <v>#VALUE!</v>
      </c>
    </row>
    <row r="609" spans="32:39" hidden="1">
      <c r="AF609" t="e">
        <v>#VALUE!</v>
      </c>
      <c r="AG609" t="e">
        <v>#VALUE!</v>
      </c>
      <c r="AH609" t="e">
        <v>#VALUE!</v>
      </c>
      <c r="AI609" t="e">
        <v>#VALUE!</v>
      </c>
      <c r="AJ609" t="e">
        <v>#VALUE!</v>
      </c>
      <c r="AK609" t="e">
        <v>#VALUE!</v>
      </c>
      <c r="AL609" t="s">
        <v>105</v>
      </c>
      <c r="AM609" t="e">
        <v>#VALUE!</v>
      </c>
    </row>
    <row r="610" spans="32:39" hidden="1">
      <c r="AF610" t="e">
        <v>#VALUE!</v>
      </c>
      <c r="AG610" t="e">
        <v>#VALUE!</v>
      </c>
      <c r="AH610" t="e">
        <v>#VALUE!</v>
      </c>
      <c r="AI610" t="e">
        <v>#VALUE!</v>
      </c>
      <c r="AJ610" t="e">
        <v>#VALUE!</v>
      </c>
      <c r="AK610" t="e">
        <v>#VALUE!</v>
      </c>
      <c r="AL610" t="s">
        <v>105</v>
      </c>
      <c r="AM610" t="e">
        <v>#VALUE!</v>
      </c>
    </row>
    <row r="611" spans="32:39" hidden="1">
      <c r="AF611" t="e">
        <v>#VALUE!</v>
      </c>
      <c r="AG611" t="e">
        <v>#VALUE!</v>
      </c>
      <c r="AH611" t="e">
        <v>#VALUE!</v>
      </c>
      <c r="AI611" t="e">
        <v>#VALUE!</v>
      </c>
      <c r="AJ611" t="e">
        <v>#VALUE!</v>
      </c>
      <c r="AK611" t="e">
        <v>#VALUE!</v>
      </c>
      <c r="AL611" t="s">
        <v>105</v>
      </c>
      <c r="AM611" t="e">
        <v>#VALUE!</v>
      </c>
    </row>
    <row r="612" spans="32:39" hidden="1">
      <c r="AF612" t="e">
        <v>#VALUE!</v>
      </c>
      <c r="AG612" t="e">
        <v>#VALUE!</v>
      </c>
      <c r="AH612" t="e">
        <v>#VALUE!</v>
      </c>
      <c r="AI612" t="e">
        <v>#VALUE!</v>
      </c>
      <c r="AJ612" t="e">
        <v>#VALUE!</v>
      </c>
      <c r="AK612" t="e">
        <v>#VALUE!</v>
      </c>
      <c r="AL612" t="s">
        <v>105</v>
      </c>
      <c r="AM612" t="e">
        <v>#VALUE!</v>
      </c>
    </row>
    <row r="613" spans="32:39" hidden="1">
      <c r="AF613" t="e">
        <v>#VALUE!</v>
      </c>
      <c r="AG613" t="e">
        <v>#VALUE!</v>
      </c>
      <c r="AH613" t="e">
        <v>#VALUE!</v>
      </c>
      <c r="AI613" t="e">
        <v>#VALUE!</v>
      </c>
      <c r="AJ613" t="e">
        <v>#VALUE!</v>
      </c>
      <c r="AK613" t="e">
        <v>#VALUE!</v>
      </c>
      <c r="AL613" t="s">
        <v>105</v>
      </c>
      <c r="AM613" t="e">
        <v>#VALUE!</v>
      </c>
    </row>
    <row r="614" spans="32:39" hidden="1">
      <c r="AF614" t="e">
        <v>#VALUE!</v>
      </c>
      <c r="AG614" t="e">
        <v>#VALUE!</v>
      </c>
      <c r="AH614" t="e">
        <v>#VALUE!</v>
      </c>
      <c r="AI614" t="e">
        <v>#VALUE!</v>
      </c>
      <c r="AJ614" t="e">
        <v>#VALUE!</v>
      </c>
      <c r="AK614" t="e">
        <v>#VALUE!</v>
      </c>
      <c r="AL614" t="s">
        <v>105</v>
      </c>
      <c r="AM614" t="e">
        <v>#VALUE!</v>
      </c>
    </row>
    <row r="615" spans="32:39" hidden="1">
      <c r="AF615" t="e">
        <v>#VALUE!</v>
      </c>
      <c r="AG615" t="e">
        <v>#VALUE!</v>
      </c>
      <c r="AH615" t="e">
        <v>#VALUE!</v>
      </c>
      <c r="AI615" t="e">
        <v>#VALUE!</v>
      </c>
      <c r="AJ615" t="e">
        <v>#VALUE!</v>
      </c>
      <c r="AK615" t="e">
        <v>#VALUE!</v>
      </c>
      <c r="AL615" t="s">
        <v>105</v>
      </c>
      <c r="AM615" t="e">
        <v>#VALUE!</v>
      </c>
    </row>
    <row r="616" spans="32:39" hidden="1">
      <c r="AF616" t="e">
        <v>#VALUE!</v>
      </c>
      <c r="AG616" t="e">
        <v>#VALUE!</v>
      </c>
      <c r="AH616" t="e">
        <v>#VALUE!</v>
      </c>
      <c r="AI616" t="e">
        <v>#VALUE!</v>
      </c>
      <c r="AJ616" t="e">
        <v>#VALUE!</v>
      </c>
      <c r="AK616" t="e">
        <v>#VALUE!</v>
      </c>
      <c r="AL616" t="s">
        <v>105</v>
      </c>
      <c r="AM616" t="e">
        <v>#VALUE!</v>
      </c>
    </row>
    <row r="617" spans="32:39" hidden="1">
      <c r="AF617" t="e">
        <v>#VALUE!</v>
      </c>
      <c r="AG617" t="e">
        <v>#VALUE!</v>
      </c>
      <c r="AH617" t="e">
        <v>#VALUE!</v>
      </c>
      <c r="AI617" t="e">
        <v>#VALUE!</v>
      </c>
      <c r="AJ617" t="e">
        <v>#VALUE!</v>
      </c>
      <c r="AK617" t="e">
        <v>#VALUE!</v>
      </c>
      <c r="AL617" t="s">
        <v>105</v>
      </c>
      <c r="AM617" t="e">
        <v>#VALUE!</v>
      </c>
    </row>
    <row r="618" spans="32:39" hidden="1">
      <c r="AF618" t="e">
        <v>#VALUE!</v>
      </c>
      <c r="AG618" t="e">
        <v>#VALUE!</v>
      </c>
      <c r="AH618" t="e">
        <v>#VALUE!</v>
      </c>
      <c r="AI618" t="e">
        <v>#VALUE!</v>
      </c>
      <c r="AJ618" t="e">
        <v>#VALUE!</v>
      </c>
      <c r="AK618" t="e">
        <v>#VALUE!</v>
      </c>
      <c r="AL618" t="s">
        <v>105</v>
      </c>
      <c r="AM618" t="e">
        <v>#VALUE!</v>
      </c>
    </row>
    <row r="619" spans="32:39" hidden="1">
      <c r="AF619" t="e">
        <v>#VALUE!</v>
      </c>
      <c r="AG619" t="e">
        <v>#VALUE!</v>
      </c>
      <c r="AH619" t="e">
        <v>#VALUE!</v>
      </c>
      <c r="AI619" t="e">
        <v>#VALUE!</v>
      </c>
      <c r="AJ619" t="e">
        <v>#VALUE!</v>
      </c>
      <c r="AK619" t="e">
        <v>#VALUE!</v>
      </c>
      <c r="AL619" t="s">
        <v>105</v>
      </c>
      <c r="AM619" t="e">
        <v>#VALUE!</v>
      </c>
    </row>
    <row r="620" spans="32:39" hidden="1">
      <c r="AF620" t="e">
        <v>#VALUE!</v>
      </c>
      <c r="AG620" t="e">
        <v>#VALUE!</v>
      </c>
      <c r="AH620" t="e">
        <v>#VALUE!</v>
      </c>
      <c r="AI620" t="e">
        <v>#VALUE!</v>
      </c>
      <c r="AJ620" t="e">
        <v>#VALUE!</v>
      </c>
      <c r="AK620" t="e">
        <v>#VALUE!</v>
      </c>
      <c r="AL620" t="s">
        <v>105</v>
      </c>
      <c r="AM620" t="e">
        <v>#VALUE!</v>
      </c>
    </row>
    <row r="621" spans="32:39" hidden="1">
      <c r="AF621" t="e">
        <v>#VALUE!</v>
      </c>
      <c r="AG621" t="e">
        <v>#VALUE!</v>
      </c>
      <c r="AH621" t="e">
        <v>#VALUE!</v>
      </c>
      <c r="AI621" t="e">
        <v>#VALUE!</v>
      </c>
      <c r="AJ621" t="e">
        <v>#VALUE!</v>
      </c>
      <c r="AK621" t="e">
        <v>#VALUE!</v>
      </c>
      <c r="AL621" t="s">
        <v>105</v>
      </c>
      <c r="AM621" t="e">
        <v>#VALUE!</v>
      </c>
    </row>
    <row r="622" spans="32:39" hidden="1">
      <c r="AF622" t="e">
        <v>#VALUE!</v>
      </c>
      <c r="AG622" t="e">
        <v>#VALUE!</v>
      </c>
      <c r="AH622" t="e">
        <v>#VALUE!</v>
      </c>
      <c r="AI622" t="e">
        <v>#VALUE!</v>
      </c>
      <c r="AJ622" t="e">
        <v>#VALUE!</v>
      </c>
      <c r="AK622" t="e">
        <v>#VALUE!</v>
      </c>
      <c r="AL622" t="s">
        <v>105</v>
      </c>
      <c r="AM622" t="e">
        <v>#VALUE!</v>
      </c>
    </row>
    <row r="623" spans="32:39" hidden="1">
      <c r="AF623" t="e">
        <v>#VALUE!</v>
      </c>
      <c r="AG623" t="e">
        <v>#VALUE!</v>
      </c>
      <c r="AH623" t="e">
        <v>#VALUE!</v>
      </c>
      <c r="AI623" t="e">
        <v>#VALUE!</v>
      </c>
      <c r="AJ623" t="e">
        <v>#VALUE!</v>
      </c>
      <c r="AK623" t="e">
        <v>#VALUE!</v>
      </c>
      <c r="AL623" t="s">
        <v>105</v>
      </c>
      <c r="AM623" t="e">
        <v>#VALUE!</v>
      </c>
    </row>
    <row r="624" spans="32:39" hidden="1">
      <c r="AF624" t="e">
        <v>#VALUE!</v>
      </c>
      <c r="AG624" t="e">
        <v>#VALUE!</v>
      </c>
      <c r="AH624" t="e">
        <v>#VALUE!</v>
      </c>
      <c r="AI624" t="e">
        <v>#VALUE!</v>
      </c>
      <c r="AJ624" t="e">
        <v>#VALUE!</v>
      </c>
      <c r="AK624" t="e">
        <v>#VALUE!</v>
      </c>
      <c r="AL624" t="s">
        <v>105</v>
      </c>
      <c r="AM624" t="e">
        <v>#VALUE!</v>
      </c>
    </row>
    <row r="625" spans="32:39" hidden="1">
      <c r="AF625" t="e">
        <v>#VALUE!</v>
      </c>
      <c r="AG625" t="e">
        <v>#VALUE!</v>
      </c>
      <c r="AH625" t="e">
        <v>#VALUE!</v>
      </c>
      <c r="AI625" t="e">
        <v>#VALUE!</v>
      </c>
      <c r="AJ625" t="e">
        <v>#VALUE!</v>
      </c>
      <c r="AK625" t="e">
        <v>#VALUE!</v>
      </c>
      <c r="AL625" t="s">
        <v>105</v>
      </c>
      <c r="AM625" t="e">
        <v>#VALUE!</v>
      </c>
    </row>
    <row r="626" spans="32:39" hidden="1">
      <c r="AF626" t="e">
        <v>#VALUE!</v>
      </c>
      <c r="AG626" t="e">
        <v>#VALUE!</v>
      </c>
      <c r="AH626" t="e">
        <v>#VALUE!</v>
      </c>
      <c r="AI626" t="e">
        <v>#VALUE!</v>
      </c>
      <c r="AJ626" t="e">
        <v>#VALUE!</v>
      </c>
      <c r="AK626" t="e">
        <v>#VALUE!</v>
      </c>
      <c r="AL626" t="s">
        <v>105</v>
      </c>
      <c r="AM626" t="e">
        <v>#VALUE!</v>
      </c>
    </row>
    <row r="627" spans="32:39" hidden="1">
      <c r="AF627" t="e">
        <v>#VALUE!</v>
      </c>
      <c r="AG627" t="e">
        <v>#VALUE!</v>
      </c>
      <c r="AH627" t="e">
        <v>#VALUE!</v>
      </c>
      <c r="AI627" t="e">
        <v>#VALUE!</v>
      </c>
      <c r="AJ627" t="e">
        <v>#VALUE!</v>
      </c>
      <c r="AK627" t="e">
        <v>#VALUE!</v>
      </c>
      <c r="AL627" t="s">
        <v>105</v>
      </c>
      <c r="AM627" t="e">
        <v>#VALUE!</v>
      </c>
    </row>
    <row r="628" spans="32:39" hidden="1">
      <c r="AF628" t="e">
        <v>#VALUE!</v>
      </c>
      <c r="AG628" t="e">
        <v>#VALUE!</v>
      </c>
      <c r="AH628" t="e">
        <v>#VALUE!</v>
      </c>
      <c r="AI628" t="e">
        <v>#VALUE!</v>
      </c>
      <c r="AJ628" t="e">
        <v>#VALUE!</v>
      </c>
      <c r="AK628" t="e">
        <v>#VALUE!</v>
      </c>
      <c r="AL628" t="s">
        <v>105</v>
      </c>
      <c r="AM628" t="e">
        <v>#VALUE!</v>
      </c>
    </row>
    <row r="629" spans="32:39" hidden="1">
      <c r="AF629" t="e">
        <v>#VALUE!</v>
      </c>
      <c r="AG629" t="e">
        <v>#VALUE!</v>
      </c>
      <c r="AH629" t="e">
        <v>#VALUE!</v>
      </c>
      <c r="AI629" t="e">
        <v>#VALUE!</v>
      </c>
      <c r="AJ629" t="e">
        <v>#VALUE!</v>
      </c>
      <c r="AK629" t="e">
        <v>#VALUE!</v>
      </c>
      <c r="AL629" t="s">
        <v>105</v>
      </c>
      <c r="AM629" t="e">
        <v>#VALUE!</v>
      </c>
    </row>
    <row r="630" spans="32:39" hidden="1">
      <c r="AF630" t="e">
        <v>#VALUE!</v>
      </c>
      <c r="AG630" t="e">
        <v>#VALUE!</v>
      </c>
      <c r="AH630" t="e">
        <v>#VALUE!</v>
      </c>
      <c r="AI630" t="e">
        <v>#VALUE!</v>
      </c>
      <c r="AJ630" t="e">
        <v>#VALUE!</v>
      </c>
      <c r="AK630" t="e">
        <v>#VALUE!</v>
      </c>
      <c r="AL630" t="s">
        <v>105</v>
      </c>
      <c r="AM630" t="e">
        <v>#VALUE!</v>
      </c>
    </row>
    <row r="631" spans="32:39" hidden="1">
      <c r="AF631" t="e">
        <v>#VALUE!</v>
      </c>
      <c r="AG631" t="e">
        <v>#VALUE!</v>
      </c>
      <c r="AH631" t="e">
        <v>#VALUE!</v>
      </c>
      <c r="AI631" t="e">
        <v>#VALUE!</v>
      </c>
      <c r="AJ631" t="e">
        <v>#VALUE!</v>
      </c>
      <c r="AK631" t="e">
        <v>#VALUE!</v>
      </c>
      <c r="AL631" t="s">
        <v>105</v>
      </c>
      <c r="AM631" t="e">
        <v>#VALUE!</v>
      </c>
    </row>
    <row r="632" spans="32:39" hidden="1">
      <c r="AF632" t="e">
        <v>#VALUE!</v>
      </c>
      <c r="AG632" t="e">
        <v>#VALUE!</v>
      </c>
      <c r="AH632" t="e">
        <v>#VALUE!</v>
      </c>
      <c r="AI632" t="e">
        <v>#VALUE!</v>
      </c>
      <c r="AJ632" t="e">
        <v>#VALUE!</v>
      </c>
      <c r="AK632" t="e">
        <v>#VALUE!</v>
      </c>
      <c r="AL632" t="s">
        <v>105</v>
      </c>
      <c r="AM632" t="e">
        <v>#VALUE!</v>
      </c>
    </row>
    <row r="633" spans="32:39" hidden="1">
      <c r="AF633" t="e">
        <v>#VALUE!</v>
      </c>
      <c r="AG633" t="e">
        <v>#VALUE!</v>
      </c>
      <c r="AH633" t="e">
        <v>#VALUE!</v>
      </c>
      <c r="AI633" t="e">
        <v>#VALUE!</v>
      </c>
      <c r="AJ633" t="e">
        <v>#VALUE!</v>
      </c>
      <c r="AK633" t="e">
        <v>#VALUE!</v>
      </c>
      <c r="AL633" t="s">
        <v>105</v>
      </c>
      <c r="AM633" t="e">
        <v>#VALUE!</v>
      </c>
    </row>
    <row r="634" spans="32:39" hidden="1">
      <c r="AF634" t="e">
        <v>#VALUE!</v>
      </c>
      <c r="AG634" t="e">
        <v>#VALUE!</v>
      </c>
      <c r="AH634" t="e">
        <v>#VALUE!</v>
      </c>
      <c r="AI634" t="e">
        <v>#VALUE!</v>
      </c>
      <c r="AJ634" t="e">
        <v>#VALUE!</v>
      </c>
      <c r="AK634" t="e">
        <v>#VALUE!</v>
      </c>
      <c r="AL634" t="s">
        <v>105</v>
      </c>
      <c r="AM634" t="e">
        <v>#VALUE!</v>
      </c>
    </row>
    <row r="635" spans="32:39" hidden="1">
      <c r="AF635" t="e">
        <v>#VALUE!</v>
      </c>
      <c r="AG635" t="e">
        <v>#VALUE!</v>
      </c>
      <c r="AH635" t="e">
        <v>#VALUE!</v>
      </c>
      <c r="AI635" t="e">
        <v>#VALUE!</v>
      </c>
      <c r="AJ635" t="e">
        <v>#VALUE!</v>
      </c>
      <c r="AK635" t="e">
        <v>#VALUE!</v>
      </c>
      <c r="AL635" t="s">
        <v>105</v>
      </c>
      <c r="AM635" t="e">
        <v>#VALUE!</v>
      </c>
    </row>
    <row r="636" spans="32:39" hidden="1">
      <c r="AF636" t="e">
        <v>#VALUE!</v>
      </c>
      <c r="AG636" t="e">
        <v>#VALUE!</v>
      </c>
      <c r="AH636" t="e">
        <v>#VALUE!</v>
      </c>
      <c r="AI636" t="e">
        <v>#VALUE!</v>
      </c>
      <c r="AJ636" t="e">
        <v>#VALUE!</v>
      </c>
      <c r="AK636" t="e">
        <v>#VALUE!</v>
      </c>
      <c r="AL636" t="s">
        <v>105</v>
      </c>
      <c r="AM636" t="e">
        <v>#VALUE!</v>
      </c>
    </row>
    <row r="637" spans="32:39" hidden="1">
      <c r="AF637" t="e">
        <v>#VALUE!</v>
      </c>
      <c r="AG637" t="e">
        <v>#VALUE!</v>
      </c>
      <c r="AH637" t="e">
        <v>#VALUE!</v>
      </c>
      <c r="AI637" t="e">
        <v>#VALUE!</v>
      </c>
      <c r="AJ637" t="e">
        <v>#VALUE!</v>
      </c>
      <c r="AK637" t="e">
        <v>#VALUE!</v>
      </c>
      <c r="AL637" t="s">
        <v>105</v>
      </c>
      <c r="AM637" t="e">
        <v>#VALUE!</v>
      </c>
    </row>
    <row r="638" spans="32:39" hidden="1">
      <c r="AF638" t="e">
        <v>#VALUE!</v>
      </c>
      <c r="AG638" t="e">
        <v>#VALUE!</v>
      </c>
      <c r="AH638" t="e">
        <v>#VALUE!</v>
      </c>
      <c r="AI638" t="e">
        <v>#VALUE!</v>
      </c>
      <c r="AJ638" t="e">
        <v>#VALUE!</v>
      </c>
      <c r="AK638" t="e">
        <v>#VALUE!</v>
      </c>
      <c r="AL638" t="s">
        <v>105</v>
      </c>
      <c r="AM638" t="e">
        <v>#VALUE!</v>
      </c>
    </row>
    <row r="639" spans="32:39" hidden="1">
      <c r="AF639" t="e">
        <v>#VALUE!</v>
      </c>
      <c r="AG639" t="e">
        <v>#VALUE!</v>
      </c>
      <c r="AH639" t="e">
        <v>#VALUE!</v>
      </c>
      <c r="AI639" t="e">
        <v>#VALUE!</v>
      </c>
      <c r="AJ639" t="e">
        <v>#VALUE!</v>
      </c>
      <c r="AK639" t="e">
        <v>#VALUE!</v>
      </c>
      <c r="AL639" t="s">
        <v>105</v>
      </c>
      <c r="AM639" t="e">
        <v>#VALUE!</v>
      </c>
    </row>
    <row r="640" spans="32:39" hidden="1">
      <c r="AF640" t="e">
        <v>#VALUE!</v>
      </c>
      <c r="AG640" t="e">
        <v>#VALUE!</v>
      </c>
      <c r="AH640" t="e">
        <v>#VALUE!</v>
      </c>
      <c r="AI640" t="e">
        <v>#VALUE!</v>
      </c>
      <c r="AJ640" t="e">
        <v>#VALUE!</v>
      </c>
      <c r="AK640" t="e">
        <v>#VALUE!</v>
      </c>
      <c r="AL640" t="s">
        <v>105</v>
      </c>
      <c r="AM640" t="e">
        <v>#VALUE!</v>
      </c>
    </row>
    <row r="641" spans="32:39" hidden="1">
      <c r="AF641" t="e">
        <v>#VALUE!</v>
      </c>
      <c r="AG641" t="e">
        <v>#VALUE!</v>
      </c>
      <c r="AH641" t="e">
        <v>#VALUE!</v>
      </c>
      <c r="AI641" t="e">
        <v>#VALUE!</v>
      </c>
      <c r="AJ641" t="e">
        <v>#VALUE!</v>
      </c>
      <c r="AK641" t="e">
        <v>#VALUE!</v>
      </c>
      <c r="AL641" t="s">
        <v>105</v>
      </c>
      <c r="AM641" t="e">
        <v>#VALUE!</v>
      </c>
    </row>
    <row r="642" spans="32:39" hidden="1">
      <c r="AF642" t="e">
        <v>#VALUE!</v>
      </c>
      <c r="AG642" t="e">
        <v>#VALUE!</v>
      </c>
      <c r="AH642" t="e">
        <v>#VALUE!</v>
      </c>
      <c r="AI642" t="e">
        <v>#VALUE!</v>
      </c>
      <c r="AJ642" t="e">
        <v>#VALUE!</v>
      </c>
      <c r="AK642" t="e">
        <v>#VALUE!</v>
      </c>
      <c r="AL642" t="s">
        <v>105</v>
      </c>
      <c r="AM642" t="e">
        <v>#VALUE!</v>
      </c>
    </row>
    <row r="643" spans="32:39" hidden="1">
      <c r="AF643" t="e">
        <v>#VALUE!</v>
      </c>
      <c r="AG643" t="e">
        <v>#VALUE!</v>
      </c>
      <c r="AH643" t="e">
        <v>#VALUE!</v>
      </c>
      <c r="AI643" t="e">
        <v>#VALUE!</v>
      </c>
      <c r="AJ643" t="e">
        <v>#VALUE!</v>
      </c>
      <c r="AK643" t="e">
        <v>#VALUE!</v>
      </c>
      <c r="AL643" t="s">
        <v>105</v>
      </c>
      <c r="AM643" t="e">
        <v>#VALUE!</v>
      </c>
    </row>
    <row r="644" spans="32:39" hidden="1">
      <c r="AF644" t="e">
        <v>#VALUE!</v>
      </c>
      <c r="AG644" t="e">
        <v>#VALUE!</v>
      </c>
      <c r="AH644" t="e">
        <v>#VALUE!</v>
      </c>
      <c r="AI644" t="e">
        <v>#VALUE!</v>
      </c>
      <c r="AJ644" t="e">
        <v>#VALUE!</v>
      </c>
      <c r="AK644" t="e">
        <v>#VALUE!</v>
      </c>
      <c r="AL644" t="s">
        <v>105</v>
      </c>
      <c r="AM644" t="e">
        <v>#VALUE!</v>
      </c>
    </row>
    <row r="645" spans="32:39" hidden="1">
      <c r="AF645" t="e">
        <v>#VALUE!</v>
      </c>
      <c r="AG645" t="e">
        <v>#VALUE!</v>
      </c>
      <c r="AH645" t="e">
        <v>#VALUE!</v>
      </c>
      <c r="AI645" t="e">
        <v>#VALUE!</v>
      </c>
      <c r="AJ645" t="e">
        <v>#VALUE!</v>
      </c>
      <c r="AK645" t="e">
        <v>#VALUE!</v>
      </c>
      <c r="AL645" t="s">
        <v>105</v>
      </c>
      <c r="AM645" t="e">
        <v>#VALUE!</v>
      </c>
    </row>
    <row r="646" spans="32:39" hidden="1">
      <c r="AF646" t="e">
        <v>#VALUE!</v>
      </c>
      <c r="AG646" t="e">
        <v>#VALUE!</v>
      </c>
      <c r="AH646" t="e">
        <v>#VALUE!</v>
      </c>
      <c r="AI646" t="e">
        <v>#VALUE!</v>
      </c>
      <c r="AJ646" t="e">
        <v>#VALUE!</v>
      </c>
      <c r="AK646" t="e">
        <v>#VALUE!</v>
      </c>
      <c r="AL646" t="s">
        <v>105</v>
      </c>
      <c r="AM646" t="e">
        <v>#VALUE!</v>
      </c>
    </row>
    <row r="647" spans="32:39" hidden="1">
      <c r="AF647" t="e">
        <v>#VALUE!</v>
      </c>
      <c r="AG647" t="e">
        <v>#VALUE!</v>
      </c>
      <c r="AH647" t="e">
        <v>#VALUE!</v>
      </c>
      <c r="AI647" t="e">
        <v>#VALUE!</v>
      </c>
      <c r="AJ647" t="e">
        <v>#VALUE!</v>
      </c>
      <c r="AK647" t="e">
        <v>#VALUE!</v>
      </c>
      <c r="AL647" t="s">
        <v>105</v>
      </c>
      <c r="AM647" t="e">
        <v>#VALUE!</v>
      </c>
    </row>
    <row r="648" spans="32:39" hidden="1">
      <c r="AF648" t="e">
        <v>#VALUE!</v>
      </c>
      <c r="AG648" t="e">
        <v>#VALUE!</v>
      </c>
      <c r="AH648" t="e">
        <v>#VALUE!</v>
      </c>
      <c r="AI648" t="e">
        <v>#VALUE!</v>
      </c>
      <c r="AJ648" t="e">
        <v>#VALUE!</v>
      </c>
      <c r="AK648" t="e">
        <v>#VALUE!</v>
      </c>
      <c r="AL648" t="s">
        <v>105</v>
      </c>
      <c r="AM648" t="e">
        <v>#VALUE!</v>
      </c>
    </row>
    <row r="649" spans="32:39" hidden="1">
      <c r="AF649" t="e">
        <v>#VALUE!</v>
      </c>
      <c r="AG649" t="e">
        <v>#VALUE!</v>
      </c>
      <c r="AH649" t="e">
        <v>#VALUE!</v>
      </c>
      <c r="AI649" t="e">
        <v>#VALUE!</v>
      </c>
      <c r="AJ649" t="e">
        <v>#VALUE!</v>
      </c>
      <c r="AK649" t="e">
        <v>#VALUE!</v>
      </c>
      <c r="AL649" t="s">
        <v>105</v>
      </c>
      <c r="AM649" t="e">
        <v>#VALUE!</v>
      </c>
    </row>
    <row r="650" spans="32:39" hidden="1">
      <c r="AF650" t="e">
        <v>#VALUE!</v>
      </c>
      <c r="AG650" t="e">
        <v>#VALUE!</v>
      </c>
      <c r="AH650" t="e">
        <v>#VALUE!</v>
      </c>
      <c r="AI650" t="e">
        <v>#VALUE!</v>
      </c>
      <c r="AJ650" t="e">
        <v>#VALUE!</v>
      </c>
      <c r="AK650" t="e">
        <v>#VALUE!</v>
      </c>
      <c r="AL650" t="s">
        <v>105</v>
      </c>
      <c r="AM650" t="e">
        <v>#VALUE!</v>
      </c>
    </row>
    <row r="651" spans="32:39" hidden="1">
      <c r="AF651" t="e">
        <v>#VALUE!</v>
      </c>
      <c r="AG651" t="e">
        <v>#VALUE!</v>
      </c>
      <c r="AH651" t="e">
        <v>#VALUE!</v>
      </c>
      <c r="AI651" t="e">
        <v>#VALUE!</v>
      </c>
      <c r="AJ651" t="e">
        <v>#VALUE!</v>
      </c>
      <c r="AK651" t="e">
        <v>#VALUE!</v>
      </c>
      <c r="AL651" t="s">
        <v>105</v>
      </c>
      <c r="AM651" t="e">
        <v>#VALUE!</v>
      </c>
    </row>
    <row r="652" spans="32:39" hidden="1">
      <c r="AF652" t="e">
        <v>#VALUE!</v>
      </c>
      <c r="AG652" t="e">
        <v>#VALUE!</v>
      </c>
      <c r="AH652" t="e">
        <v>#VALUE!</v>
      </c>
      <c r="AI652" t="e">
        <v>#VALUE!</v>
      </c>
      <c r="AJ652" t="e">
        <v>#VALUE!</v>
      </c>
      <c r="AK652" t="e">
        <v>#VALUE!</v>
      </c>
      <c r="AL652" t="s">
        <v>105</v>
      </c>
      <c r="AM652" t="e">
        <v>#VALUE!</v>
      </c>
    </row>
    <row r="653" spans="32:39" hidden="1">
      <c r="AF653" t="e">
        <v>#VALUE!</v>
      </c>
      <c r="AG653" t="e">
        <v>#VALUE!</v>
      </c>
      <c r="AH653" t="e">
        <v>#VALUE!</v>
      </c>
      <c r="AI653" t="e">
        <v>#VALUE!</v>
      </c>
      <c r="AJ653" t="e">
        <v>#VALUE!</v>
      </c>
      <c r="AK653" t="e">
        <v>#VALUE!</v>
      </c>
      <c r="AL653" t="s">
        <v>105</v>
      </c>
      <c r="AM653" t="e">
        <v>#VALUE!</v>
      </c>
    </row>
    <row r="654" spans="32:39" hidden="1">
      <c r="AF654" t="e">
        <v>#VALUE!</v>
      </c>
      <c r="AG654" t="e">
        <v>#VALUE!</v>
      </c>
      <c r="AH654" t="e">
        <v>#VALUE!</v>
      </c>
      <c r="AI654" t="e">
        <v>#VALUE!</v>
      </c>
      <c r="AJ654" t="e">
        <v>#VALUE!</v>
      </c>
      <c r="AK654" t="e">
        <v>#VALUE!</v>
      </c>
      <c r="AL654" t="s">
        <v>105</v>
      </c>
      <c r="AM654" t="e">
        <v>#VALUE!</v>
      </c>
    </row>
    <row r="655" spans="32:39" hidden="1">
      <c r="AF655" t="e">
        <v>#VALUE!</v>
      </c>
      <c r="AG655" t="e">
        <v>#VALUE!</v>
      </c>
      <c r="AH655" t="e">
        <v>#VALUE!</v>
      </c>
      <c r="AI655" t="e">
        <v>#VALUE!</v>
      </c>
      <c r="AJ655" t="e">
        <v>#VALUE!</v>
      </c>
      <c r="AK655" t="e">
        <v>#VALUE!</v>
      </c>
      <c r="AL655" t="s">
        <v>105</v>
      </c>
      <c r="AM655" t="e">
        <v>#VALUE!</v>
      </c>
    </row>
    <row r="656" spans="32:39" hidden="1">
      <c r="AF656" t="e">
        <v>#VALUE!</v>
      </c>
      <c r="AG656" t="e">
        <v>#VALUE!</v>
      </c>
      <c r="AH656" t="e">
        <v>#VALUE!</v>
      </c>
      <c r="AI656" t="e">
        <v>#VALUE!</v>
      </c>
      <c r="AJ656" t="e">
        <v>#VALUE!</v>
      </c>
      <c r="AK656" t="e">
        <v>#VALUE!</v>
      </c>
      <c r="AL656" t="s">
        <v>105</v>
      </c>
      <c r="AM656" t="e">
        <v>#VALUE!</v>
      </c>
    </row>
    <row r="657" spans="32:39" hidden="1">
      <c r="AF657" t="e">
        <v>#VALUE!</v>
      </c>
      <c r="AG657" t="e">
        <v>#VALUE!</v>
      </c>
      <c r="AH657" t="e">
        <v>#VALUE!</v>
      </c>
      <c r="AI657" t="e">
        <v>#VALUE!</v>
      </c>
      <c r="AJ657" t="e">
        <v>#VALUE!</v>
      </c>
      <c r="AK657" t="e">
        <v>#VALUE!</v>
      </c>
      <c r="AL657" t="s">
        <v>105</v>
      </c>
      <c r="AM657" t="e">
        <v>#VALUE!</v>
      </c>
    </row>
    <row r="658" spans="32:39" hidden="1">
      <c r="AF658" t="e">
        <v>#VALUE!</v>
      </c>
      <c r="AG658" t="e">
        <v>#VALUE!</v>
      </c>
      <c r="AH658" t="e">
        <v>#VALUE!</v>
      </c>
      <c r="AI658" t="e">
        <v>#VALUE!</v>
      </c>
      <c r="AJ658" t="e">
        <v>#VALUE!</v>
      </c>
      <c r="AK658" t="e">
        <v>#VALUE!</v>
      </c>
      <c r="AL658" t="s">
        <v>105</v>
      </c>
      <c r="AM658" t="e">
        <v>#VALUE!</v>
      </c>
    </row>
    <row r="659" spans="32:39" hidden="1">
      <c r="AF659" t="e">
        <v>#VALUE!</v>
      </c>
      <c r="AG659" t="e">
        <v>#VALUE!</v>
      </c>
      <c r="AH659" t="e">
        <v>#VALUE!</v>
      </c>
      <c r="AI659" t="e">
        <v>#VALUE!</v>
      </c>
      <c r="AJ659" t="e">
        <v>#VALUE!</v>
      </c>
      <c r="AK659" t="e">
        <v>#VALUE!</v>
      </c>
      <c r="AL659" t="s">
        <v>105</v>
      </c>
      <c r="AM659" t="e">
        <v>#VALUE!</v>
      </c>
    </row>
    <row r="660" spans="32:39" hidden="1">
      <c r="AF660" t="e">
        <v>#VALUE!</v>
      </c>
      <c r="AG660" t="e">
        <v>#VALUE!</v>
      </c>
      <c r="AH660" t="e">
        <v>#VALUE!</v>
      </c>
      <c r="AI660" t="e">
        <v>#VALUE!</v>
      </c>
      <c r="AJ660" t="e">
        <v>#VALUE!</v>
      </c>
      <c r="AK660" t="e">
        <v>#VALUE!</v>
      </c>
      <c r="AL660" t="s">
        <v>105</v>
      </c>
      <c r="AM660" t="e">
        <v>#VALUE!</v>
      </c>
    </row>
    <row r="661" spans="32:39" hidden="1">
      <c r="AF661" t="e">
        <v>#VALUE!</v>
      </c>
      <c r="AG661" t="e">
        <v>#VALUE!</v>
      </c>
      <c r="AH661" t="e">
        <v>#VALUE!</v>
      </c>
      <c r="AI661" t="e">
        <v>#VALUE!</v>
      </c>
      <c r="AJ661" t="e">
        <v>#VALUE!</v>
      </c>
      <c r="AK661" t="e">
        <v>#VALUE!</v>
      </c>
      <c r="AL661" t="s">
        <v>105</v>
      </c>
      <c r="AM661" t="e">
        <v>#VALUE!</v>
      </c>
    </row>
    <row r="662" spans="32:39" hidden="1">
      <c r="AF662" t="e">
        <v>#VALUE!</v>
      </c>
      <c r="AG662" t="e">
        <v>#VALUE!</v>
      </c>
      <c r="AH662" t="e">
        <v>#VALUE!</v>
      </c>
      <c r="AI662" t="e">
        <v>#VALUE!</v>
      </c>
      <c r="AJ662" t="e">
        <v>#VALUE!</v>
      </c>
      <c r="AK662" t="e">
        <v>#VALUE!</v>
      </c>
      <c r="AL662" t="s">
        <v>105</v>
      </c>
      <c r="AM662" t="e">
        <v>#VALUE!</v>
      </c>
    </row>
    <row r="663" spans="32:39" hidden="1">
      <c r="AF663" t="e">
        <v>#VALUE!</v>
      </c>
      <c r="AG663" t="e">
        <v>#VALUE!</v>
      </c>
      <c r="AH663" t="e">
        <v>#VALUE!</v>
      </c>
      <c r="AI663" t="e">
        <v>#VALUE!</v>
      </c>
      <c r="AJ663" t="e">
        <v>#VALUE!</v>
      </c>
      <c r="AK663" t="e">
        <v>#VALUE!</v>
      </c>
      <c r="AL663" t="s">
        <v>105</v>
      </c>
      <c r="AM663" t="e">
        <v>#VALUE!</v>
      </c>
    </row>
    <row r="664" spans="32:39" hidden="1">
      <c r="AF664" t="e">
        <v>#VALUE!</v>
      </c>
      <c r="AG664" t="e">
        <v>#VALUE!</v>
      </c>
      <c r="AH664" t="e">
        <v>#VALUE!</v>
      </c>
      <c r="AI664" t="e">
        <v>#VALUE!</v>
      </c>
      <c r="AJ664" t="e">
        <v>#VALUE!</v>
      </c>
      <c r="AK664" t="e">
        <v>#VALUE!</v>
      </c>
      <c r="AL664" t="s">
        <v>105</v>
      </c>
      <c r="AM664" t="e">
        <v>#VALUE!</v>
      </c>
    </row>
    <row r="665" spans="32:39" hidden="1">
      <c r="AF665" t="e">
        <v>#VALUE!</v>
      </c>
      <c r="AG665" t="e">
        <v>#VALUE!</v>
      </c>
      <c r="AH665" t="e">
        <v>#VALUE!</v>
      </c>
      <c r="AI665" t="e">
        <v>#VALUE!</v>
      </c>
      <c r="AJ665" t="e">
        <v>#VALUE!</v>
      </c>
      <c r="AK665" t="e">
        <v>#VALUE!</v>
      </c>
      <c r="AL665" t="s">
        <v>105</v>
      </c>
      <c r="AM665" t="e">
        <v>#VALUE!</v>
      </c>
    </row>
    <row r="666" spans="32:39" hidden="1">
      <c r="AF666" t="e">
        <v>#VALUE!</v>
      </c>
      <c r="AG666" t="e">
        <v>#VALUE!</v>
      </c>
      <c r="AH666" t="e">
        <v>#VALUE!</v>
      </c>
      <c r="AI666" t="e">
        <v>#VALUE!</v>
      </c>
      <c r="AJ666" t="e">
        <v>#VALUE!</v>
      </c>
      <c r="AK666" t="e">
        <v>#VALUE!</v>
      </c>
      <c r="AL666" t="s">
        <v>105</v>
      </c>
      <c r="AM666" t="e">
        <v>#VALUE!</v>
      </c>
    </row>
    <row r="667" spans="32:39" hidden="1">
      <c r="AF667" t="e">
        <v>#VALUE!</v>
      </c>
      <c r="AG667" t="e">
        <v>#VALUE!</v>
      </c>
      <c r="AH667" t="e">
        <v>#VALUE!</v>
      </c>
      <c r="AI667" t="e">
        <v>#VALUE!</v>
      </c>
      <c r="AJ667" t="e">
        <v>#VALUE!</v>
      </c>
      <c r="AK667" t="e">
        <v>#VALUE!</v>
      </c>
      <c r="AL667" t="s">
        <v>105</v>
      </c>
      <c r="AM667" t="e">
        <v>#VALUE!</v>
      </c>
    </row>
    <row r="668" spans="32:39" hidden="1">
      <c r="AF668" t="e">
        <v>#VALUE!</v>
      </c>
      <c r="AG668" t="e">
        <v>#VALUE!</v>
      </c>
      <c r="AH668" t="e">
        <v>#VALUE!</v>
      </c>
      <c r="AI668" t="e">
        <v>#VALUE!</v>
      </c>
      <c r="AJ668" t="e">
        <v>#VALUE!</v>
      </c>
      <c r="AK668" t="e">
        <v>#VALUE!</v>
      </c>
      <c r="AL668" t="s">
        <v>105</v>
      </c>
      <c r="AM668" t="e">
        <v>#VALUE!</v>
      </c>
    </row>
    <row r="669" spans="32:39" hidden="1">
      <c r="AF669" t="e">
        <v>#VALUE!</v>
      </c>
      <c r="AG669" t="e">
        <v>#VALUE!</v>
      </c>
      <c r="AH669" t="e">
        <v>#VALUE!</v>
      </c>
      <c r="AI669" t="e">
        <v>#VALUE!</v>
      </c>
      <c r="AJ669" t="e">
        <v>#VALUE!</v>
      </c>
      <c r="AK669" t="e">
        <v>#VALUE!</v>
      </c>
      <c r="AL669" t="s">
        <v>105</v>
      </c>
      <c r="AM669" t="e">
        <v>#VALUE!</v>
      </c>
    </row>
    <row r="670" spans="32:39" hidden="1">
      <c r="AF670" t="e">
        <v>#VALUE!</v>
      </c>
      <c r="AG670" t="e">
        <v>#VALUE!</v>
      </c>
      <c r="AH670" t="e">
        <v>#VALUE!</v>
      </c>
      <c r="AI670" t="e">
        <v>#VALUE!</v>
      </c>
      <c r="AJ670" t="e">
        <v>#VALUE!</v>
      </c>
      <c r="AK670" t="e">
        <v>#VALUE!</v>
      </c>
      <c r="AL670" t="s">
        <v>105</v>
      </c>
      <c r="AM670" t="e">
        <v>#VALUE!</v>
      </c>
    </row>
    <row r="671" spans="32:39" hidden="1">
      <c r="AF671" t="e">
        <v>#VALUE!</v>
      </c>
      <c r="AG671" t="e">
        <v>#VALUE!</v>
      </c>
      <c r="AH671" t="e">
        <v>#VALUE!</v>
      </c>
      <c r="AI671" t="e">
        <v>#VALUE!</v>
      </c>
      <c r="AJ671" t="e">
        <v>#VALUE!</v>
      </c>
      <c r="AK671" t="e">
        <v>#VALUE!</v>
      </c>
      <c r="AL671" t="s">
        <v>105</v>
      </c>
      <c r="AM671" t="e">
        <v>#VALUE!</v>
      </c>
    </row>
    <row r="672" spans="32:39" hidden="1">
      <c r="AF672" t="e">
        <v>#VALUE!</v>
      </c>
      <c r="AG672" t="e">
        <v>#VALUE!</v>
      </c>
      <c r="AH672" t="e">
        <v>#VALUE!</v>
      </c>
      <c r="AI672" t="e">
        <v>#VALUE!</v>
      </c>
      <c r="AJ672" t="e">
        <v>#VALUE!</v>
      </c>
      <c r="AK672" t="e">
        <v>#VALUE!</v>
      </c>
      <c r="AL672" t="s">
        <v>105</v>
      </c>
      <c r="AM672" t="e">
        <v>#VALUE!</v>
      </c>
    </row>
    <row r="673" spans="32:39" hidden="1">
      <c r="AF673" t="e">
        <v>#VALUE!</v>
      </c>
      <c r="AG673" t="e">
        <v>#VALUE!</v>
      </c>
      <c r="AH673" t="e">
        <v>#VALUE!</v>
      </c>
      <c r="AI673" t="e">
        <v>#VALUE!</v>
      </c>
      <c r="AJ673" t="e">
        <v>#VALUE!</v>
      </c>
      <c r="AK673" t="e">
        <v>#VALUE!</v>
      </c>
      <c r="AL673" t="s">
        <v>105</v>
      </c>
      <c r="AM673" t="e">
        <v>#VALUE!</v>
      </c>
    </row>
    <row r="674" spans="32:39" hidden="1">
      <c r="AF674" t="e">
        <v>#VALUE!</v>
      </c>
      <c r="AG674" t="e">
        <v>#VALUE!</v>
      </c>
      <c r="AH674" t="e">
        <v>#VALUE!</v>
      </c>
      <c r="AI674" t="e">
        <v>#VALUE!</v>
      </c>
      <c r="AJ674" t="e">
        <v>#VALUE!</v>
      </c>
      <c r="AK674" t="e">
        <v>#VALUE!</v>
      </c>
      <c r="AL674" t="s">
        <v>105</v>
      </c>
      <c r="AM674" t="e">
        <v>#VALUE!</v>
      </c>
    </row>
    <row r="675" spans="32:39" hidden="1">
      <c r="AF675" t="e">
        <v>#VALUE!</v>
      </c>
      <c r="AG675" t="e">
        <v>#VALUE!</v>
      </c>
      <c r="AH675" t="e">
        <v>#VALUE!</v>
      </c>
      <c r="AI675" t="e">
        <v>#VALUE!</v>
      </c>
      <c r="AJ675" t="e">
        <v>#VALUE!</v>
      </c>
      <c r="AK675" t="e">
        <v>#VALUE!</v>
      </c>
      <c r="AL675" t="s">
        <v>105</v>
      </c>
      <c r="AM675" t="e">
        <v>#VALUE!</v>
      </c>
    </row>
    <row r="676" spans="32:39" hidden="1">
      <c r="AF676" t="e">
        <v>#VALUE!</v>
      </c>
      <c r="AG676" t="e">
        <v>#VALUE!</v>
      </c>
      <c r="AH676" t="e">
        <v>#VALUE!</v>
      </c>
      <c r="AI676" t="e">
        <v>#VALUE!</v>
      </c>
      <c r="AJ676" t="e">
        <v>#VALUE!</v>
      </c>
      <c r="AK676" t="e">
        <v>#VALUE!</v>
      </c>
      <c r="AL676" t="s">
        <v>105</v>
      </c>
      <c r="AM676" t="e">
        <v>#VALUE!</v>
      </c>
    </row>
    <row r="677" spans="32:39" hidden="1">
      <c r="AF677" t="e">
        <v>#VALUE!</v>
      </c>
      <c r="AG677" t="e">
        <v>#VALUE!</v>
      </c>
      <c r="AH677" t="e">
        <v>#VALUE!</v>
      </c>
      <c r="AI677" t="e">
        <v>#VALUE!</v>
      </c>
      <c r="AJ677" t="e">
        <v>#VALUE!</v>
      </c>
      <c r="AK677" t="e">
        <v>#VALUE!</v>
      </c>
      <c r="AL677" t="s">
        <v>105</v>
      </c>
      <c r="AM677" t="e">
        <v>#VALUE!</v>
      </c>
    </row>
    <row r="678" spans="32:39" hidden="1">
      <c r="AF678" t="e">
        <v>#VALUE!</v>
      </c>
      <c r="AG678" t="e">
        <v>#VALUE!</v>
      </c>
      <c r="AH678" t="e">
        <v>#VALUE!</v>
      </c>
      <c r="AI678" t="e">
        <v>#VALUE!</v>
      </c>
      <c r="AJ678" t="e">
        <v>#VALUE!</v>
      </c>
      <c r="AK678" t="e">
        <v>#VALUE!</v>
      </c>
      <c r="AL678" t="s">
        <v>105</v>
      </c>
      <c r="AM678" t="e">
        <v>#VALUE!</v>
      </c>
    </row>
    <row r="679" spans="32:39" hidden="1">
      <c r="AF679" t="e">
        <v>#VALUE!</v>
      </c>
      <c r="AG679" t="e">
        <v>#VALUE!</v>
      </c>
      <c r="AH679" t="e">
        <v>#VALUE!</v>
      </c>
      <c r="AI679" t="e">
        <v>#VALUE!</v>
      </c>
      <c r="AJ679" t="e">
        <v>#VALUE!</v>
      </c>
      <c r="AK679" t="e">
        <v>#VALUE!</v>
      </c>
      <c r="AL679" t="s">
        <v>105</v>
      </c>
      <c r="AM679" t="e">
        <v>#VALUE!</v>
      </c>
    </row>
    <row r="680" spans="32:39" hidden="1">
      <c r="AF680" t="e">
        <v>#VALUE!</v>
      </c>
      <c r="AG680" t="e">
        <v>#VALUE!</v>
      </c>
      <c r="AH680" t="e">
        <v>#VALUE!</v>
      </c>
      <c r="AI680" t="e">
        <v>#VALUE!</v>
      </c>
      <c r="AJ680" t="e">
        <v>#VALUE!</v>
      </c>
      <c r="AK680" t="e">
        <v>#VALUE!</v>
      </c>
      <c r="AL680" t="s">
        <v>105</v>
      </c>
      <c r="AM680" t="e">
        <v>#VALUE!</v>
      </c>
    </row>
    <row r="681" spans="32:39" hidden="1">
      <c r="AF681" t="e">
        <v>#VALUE!</v>
      </c>
      <c r="AG681" t="e">
        <v>#VALUE!</v>
      </c>
      <c r="AH681" t="e">
        <v>#VALUE!</v>
      </c>
      <c r="AI681" t="e">
        <v>#VALUE!</v>
      </c>
      <c r="AJ681" t="e">
        <v>#VALUE!</v>
      </c>
      <c r="AK681" t="e">
        <v>#VALUE!</v>
      </c>
      <c r="AL681" t="s">
        <v>105</v>
      </c>
      <c r="AM681" t="e">
        <v>#VALUE!</v>
      </c>
    </row>
    <row r="682" spans="32:39" hidden="1">
      <c r="AF682" t="e">
        <v>#VALUE!</v>
      </c>
      <c r="AG682" t="e">
        <v>#VALUE!</v>
      </c>
      <c r="AH682" t="e">
        <v>#VALUE!</v>
      </c>
      <c r="AI682" t="e">
        <v>#VALUE!</v>
      </c>
      <c r="AJ682" t="e">
        <v>#VALUE!</v>
      </c>
      <c r="AK682" t="e">
        <v>#VALUE!</v>
      </c>
      <c r="AL682" t="s">
        <v>105</v>
      </c>
      <c r="AM682" t="e">
        <v>#VALUE!</v>
      </c>
    </row>
    <row r="683" spans="32:39" hidden="1">
      <c r="AF683" t="e">
        <v>#VALUE!</v>
      </c>
      <c r="AG683" t="e">
        <v>#VALUE!</v>
      </c>
      <c r="AH683" t="e">
        <v>#VALUE!</v>
      </c>
      <c r="AI683" t="e">
        <v>#VALUE!</v>
      </c>
      <c r="AJ683" t="e">
        <v>#VALUE!</v>
      </c>
      <c r="AK683" t="e">
        <v>#VALUE!</v>
      </c>
      <c r="AL683" t="s">
        <v>105</v>
      </c>
      <c r="AM683" t="e">
        <v>#VALUE!</v>
      </c>
    </row>
    <row r="684" spans="32:39" hidden="1">
      <c r="AF684" t="e">
        <v>#VALUE!</v>
      </c>
      <c r="AG684" t="e">
        <v>#VALUE!</v>
      </c>
      <c r="AH684" t="e">
        <v>#VALUE!</v>
      </c>
      <c r="AI684" t="e">
        <v>#VALUE!</v>
      </c>
      <c r="AJ684" t="e">
        <v>#VALUE!</v>
      </c>
      <c r="AK684" t="e">
        <v>#VALUE!</v>
      </c>
      <c r="AL684" t="s">
        <v>105</v>
      </c>
      <c r="AM684" t="e">
        <v>#VALUE!</v>
      </c>
    </row>
    <row r="685" spans="32:39" hidden="1">
      <c r="AF685" t="e">
        <v>#VALUE!</v>
      </c>
      <c r="AG685" t="e">
        <v>#VALUE!</v>
      </c>
      <c r="AH685" t="e">
        <v>#VALUE!</v>
      </c>
      <c r="AI685" t="e">
        <v>#VALUE!</v>
      </c>
      <c r="AJ685" t="e">
        <v>#VALUE!</v>
      </c>
      <c r="AK685" t="e">
        <v>#VALUE!</v>
      </c>
      <c r="AL685" t="s">
        <v>105</v>
      </c>
      <c r="AM685" t="e">
        <v>#VALUE!</v>
      </c>
    </row>
    <row r="686" spans="32:39" hidden="1">
      <c r="AF686" t="e">
        <v>#VALUE!</v>
      </c>
      <c r="AG686" t="e">
        <v>#VALUE!</v>
      </c>
      <c r="AH686" t="e">
        <v>#VALUE!</v>
      </c>
      <c r="AI686" t="e">
        <v>#VALUE!</v>
      </c>
      <c r="AJ686" t="e">
        <v>#VALUE!</v>
      </c>
      <c r="AK686" t="e">
        <v>#VALUE!</v>
      </c>
      <c r="AL686" t="s">
        <v>105</v>
      </c>
      <c r="AM686" t="e">
        <v>#VALUE!</v>
      </c>
    </row>
    <row r="687" spans="32:39" hidden="1">
      <c r="AF687" t="e">
        <v>#VALUE!</v>
      </c>
      <c r="AG687" t="e">
        <v>#VALUE!</v>
      </c>
      <c r="AH687" t="e">
        <v>#VALUE!</v>
      </c>
      <c r="AI687" t="e">
        <v>#VALUE!</v>
      </c>
      <c r="AJ687" t="e">
        <v>#VALUE!</v>
      </c>
      <c r="AK687" t="e">
        <v>#VALUE!</v>
      </c>
      <c r="AL687" t="s">
        <v>105</v>
      </c>
      <c r="AM687" t="e">
        <v>#VALUE!</v>
      </c>
    </row>
    <row r="688" spans="32:39" hidden="1">
      <c r="AF688" t="e">
        <v>#VALUE!</v>
      </c>
      <c r="AG688" t="e">
        <v>#VALUE!</v>
      </c>
      <c r="AH688" t="e">
        <v>#VALUE!</v>
      </c>
      <c r="AI688" t="e">
        <v>#VALUE!</v>
      </c>
      <c r="AJ688" t="e">
        <v>#VALUE!</v>
      </c>
      <c r="AK688" t="e">
        <v>#VALUE!</v>
      </c>
      <c r="AL688" t="s">
        <v>105</v>
      </c>
      <c r="AM688" t="e">
        <v>#VALUE!</v>
      </c>
    </row>
    <row r="689" spans="32:39" hidden="1">
      <c r="AF689" t="e">
        <v>#VALUE!</v>
      </c>
      <c r="AG689" t="e">
        <v>#VALUE!</v>
      </c>
      <c r="AH689" t="e">
        <v>#VALUE!</v>
      </c>
      <c r="AI689" t="e">
        <v>#VALUE!</v>
      </c>
      <c r="AJ689" t="e">
        <v>#VALUE!</v>
      </c>
      <c r="AK689" t="e">
        <v>#VALUE!</v>
      </c>
      <c r="AL689" t="s">
        <v>105</v>
      </c>
      <c r="AM689" t="e">
        <v>#VALUE!</v>
      </c>
    </row>
    <row r="690" spans="32:39" hidden="1">
      <c r="AF690" t="e">
        <v>#VALUE!</v>
      </c>
      <c r="AG690" t="e">
        <v>#VALUE!</v>
      </c>
      <c r="AH690" t="e">
        <v>#VALUE!</v>
      </c>
      <c r="AI690" t="e">
        <v>#VALUE!</v>
      </c>
      <c r="AJ690" t="e">
        <v>#VALUE!</v>
      </c>
      <c r="AK690" t="e">
        <v>#VALUE!</v>
      </c>
      <c r="AL690" t="s">
        <v>105</v>
      </c>
      <c r="AM690" t="e">
        <v>#VALUE!</v>
      </c>
    </row>
    <row r="691" spans="32:39" hidden="1">
      <c r="AF691" t="e">
        <v>#VALUE!</v>
      </c>
      <c r="AG691" t="e">
        <v>#VALUE!</v>
      </c>
      <c r="AH691" t="e">
        <v>#VALUE!</v>
      </c>
      <c r="AI691" t="e">
        <v>#VALUE!</v>
      </c>
      <c r="AJ691" t="e">
        <v>#VALUE!</v>
      </c>
      <c r="AK691" t="e">
        <v>#VALUE!</v>
      </c>
      <c r="AL691" t="s">
        <v>105</v>
      </c>
      <c r="AM691" t="e">
        <v>#VALUE!</v>
      </c>
    </row>
    <row r="692" spans="32:39" hidden="1">
      <c r="AF692" t="e">
        <v>#VALUE!</v>
      </c>
      <c r="AG692" t="e">
        <v>#VALUE!</v>
      </c>
      <c r="AH692" t="e">
        <v>#VALUE!</v>
      </c>
      <c r="AI692" t="e">
        <v>#VALUE!</v>
      </c>
      <c r="AJ692" t="e">
        <v>#VALUE!</v>
      </c>
      <c r="AK692" t="e">
        <v>#VALUE!</v>
      </c>
      <c r="AL692" t="s">
        <v>105</v>
      </c>
      <c r="AM692" t="e">
        <v>#VALUE!</v>
      </c>
    </row>
    <row r="693" spans="32:39" hidden="1">
      <c r="AF693" t="e">
        <v>#VALUE!</v>
      </c>
      <c r="AG693" t="e">
        <v>#VALUE!</v>
      </c>
      <c r="AH693" t="e">
        <v>#VALUE!</v>
      </c>
      <c r="AI693" t="e">
        <v>#VALUE!</v>
      </c>
      <c r="AJ693" t="e">
        <v>#VALUE!</v>
      </c>
      <c r="AK693" t="e">
        <v>#VALUE!</v>
      </c>
      <c r="AL693" t="s">
        <v>105</v>
      </c>
      <c r="AM693" t="e">
        <v>#VALUE!</v>
      </c>
    </row>
    <row r="694" spans="32:39" hidden="1">
      <c r="AF694" t="e">
        <v>#VALUE!</v>
      </c>
      <c r="AG694" t="e">
        <v>#VALUE!</v>
      </c>
      <c r="AH694" t="e">
        <v>#VALUE!</v>
      </c>
      <c r="AI694" t="e">
        <v>#VALUE!</v>
      </c>
      <c r="AJ694" t="e">
        <v>#VALUE!</v>
      </c>
      <c r="AK694" t="e">
        <v>#VALUE!</v>
      </c>
      <c r="AL694" t="s">
        <v>105</v>
      </c>
      <c r="AM694" t="e">
        <v>#VALUE!</v>
      </c>
    </row>
    <row r="695" spans="32:39" hidden="1">
      <c r="AF695" t="e">
        <v>#VALUE!</v>
      </c>
      <c r="AG695" t="e">
        <v>#VALUE!</v>
      </c>
      <c r="AH695" t="e">
        <v>#VALUE!</v>
      </c>
      <c r="AI695" t="e">
        <v>#VALUE!</v>
      </c>
      <c r="AJ695" t="e">
        <v>#VALUE!</v>
      </c>
      <c r="AK695" t="e">
        <v>#VALUE!</v>
      </c>
      <c r="AL695" t="s">
        <v>105</v>
      </c>
      <c r="AM695" t="e">
        <v>#VALUE!</v>
      </c>
    </row>
    <row r="696" spans="32:39" hidden="1">
      <c r="AF696" t="e">
        <v>#VALUE!</v>
      </c>
      <c r="AG696" t="e">
        <v>#VALUE!</v>
      </c>
      <c r="AH696" t="e">
        <v>#VALUE!</v>
      </c>
      <c r="AI696" t="e">
        <v>#VALUE!</v>
      </c>
      <c r="AJ696" t="e">
        <v>#VALUE!</v>
      </c>
      <c r="AK696" t="e">
        <v>#VALUE!</v>
      </c>
      <c r="AL696" t="s">
        <v>105</v>
      </c>
      <c r="AM696" t="e">
        <v>#VALUE!</v>
      </c>
    </row>
    <row r="697" spans="32:39" hidden="1">
      <c r="AF697" t="e">
        <v>#VALUE!</v>
      </c>
      <c r="AG697" t="e">
        <v>#VALUE!</v>
      </c>
      <c r="AH697" t="e">
        <v>#VALUE!</v>
      </c>
      <c r="AI697" t="e">
        <v>#VALUE!</v>
      </c>
      <c r="AJ697" t="e">
        <v>#VALUE!</v>
      </c>
      <c r="AK697" t="e">
        <v>#VALUE!</v>
      </c>
      <c r="AL697" t="s">
        <v>105</v>
      </c>
      <c r="AM697" t="e">
        <v>#VALUE!</v>
      </c>
    </row>
    <row r="698" spans="32:39" hidden="1">
      <c r="AF698" t="e">
        <v>#VALUE!</v>
      </c>
      <c r="AG698" t="e">
        <v>#VALUE!</v>
      </c>
      <c r="AH698" t="e">
        <v>#VALUE!</v>
      </c>
      <c r="AI698" t="e">
        <v>#VALUE!</v>
      </c>
      <c r="AJ698" t="e">
        <v>#VALUE!</v>
      </c>
      <c r="AK698" t="e">
        <v>#VALUE!</v>
      </c>
      <c r="AL698" t="s">
        <v>105</v>
      </c>
      <c r="AM698" t="e">
        <v>#VALUE!</v>
      </c>
    </row>
    <row r="699" spans="32:39" hidden="1">
      <c r="AF699" t="e">
        <v>#VALUE!</v>
      </c>
      <c r="AG699" t="e">
        <v>#VALUE!</v>
      </c>
      <c r="AH699" t="e">
        <v>#VALUE!</v>
      </c>
      <c r="AI699" t="e">
        <v>#VALUE!</v>
      </c>
      <c r="AJ699" t="e">
        <v>#VALUE!</v>
      </c>
      <c r="AK699" t="e">
        <v>#VALUE!</v>
      </c>
      <c r="AL699" t="s">
        <v>105</v>
      </c>
      <c r="AM699" t="e">
        <v>#VALUE!</v>
      </c>
    </row>
    <row r="700" spans="32:39" hidden="1">
      <c r="AF700" t="e">
        <v>#VALUE!</v>
      </c>
      <c r="AG700" t="e">
        <v>#VALUE!</v>
      </c>
      <c r="AH700" t="e">
        <v>#VALUE!</v>
      </c>
      <c r="AI700" t="e">
        <v>#VALUE!</v>
      </c>
      <c r="AJ700" t="e">
        <v>#VALUE!</v>
      </c>
      <c r="AK700" t="e">
        <v>#VALUE!</v>
      </c>
      <c r="AL700" t="s">
        <v>105</v>
      </c>
      <c r="AM700" t="e">
        <v>#VALUE!</v>
      </c>
    </row>
    <row r="701" spans="32:39" hidden="1">
      <c r="AF701" t="e">
        <v>#VALUE!</v>
      </c>
      <c r="AG701" t="e">
        <v>#VALUE!</v>
      </c>
      <c r="AH701" t="e">
        <v>#VALUE!</v>
      </c>
      <c r="AI701" t="e">
        <v>#VALUE!</v>
      </c>
      <c r="AJ701" t="e">
        <v>#VALUE!</v>
      </c>
      <c r="AK701" t="e">
        <v>#VALUE!</v>
      </c>
      <c r="AL701" t="s">
        <v>105</v>
      </c>
      <c r="AM701" t="e">
        <v>#VALUE!</v>
      </c>
    </row>
    <row r="702" spans="32:39" hidden="1">
      <c r="AF702" t="e">
        <v>#VALUE!</v>
      </c>
      <c r="AG702" t="e">
        <v>#VALUE!</v>
      </c>
      <c r="AH702" t="e">
        <v>#VALUE!</v>
      </c>
      <c r="AI702" t="e">
        <v>#VALUE!</v>
      </c>
      <c r="AJ702" t="e">
        <v>#VALUE!</v>
      </c>
      <c r="AK702" t="e">
        <v>#VALUE!</v>
      </c>
      <c r="AL702" t="s">
        <v>105</v>
      </c>
      <c r="AM702" t="e">
        <v>#VALUE!</v>
      </c>
    </row>
    <row r="703" spans="32:39" hidden="1">
      <c r="AF703" t="e">
        <v>#VALUE!</v>
      </c>
      <c r="AG703" t="e">
        <v>#VALUE!</v>
      </c>
      <c r="AH703" t="e">
        <v>#VALUE!</v>
      </c>
      <c r="AI703" t="e">
        <v>#VALUE!</v>
      </c>
      <c r="AJ703" t="e">
        <v>#VALUE!</v>
      </c>
      <c r="AK703" t="e">
        <v>#VALUE!</v>
      </c>
      <c r="AL703" t="s">
        <v>105</v>
      </c>
      <c r="AM703" t="e">
        <v>#VALUE!</v>
      </c>
    </row>
    <row r="704" spans="32:39" hidden="1">
      <c r="AF704" t="e">
        <v>#VALUE!</v>
      </c>
      <c r="AG704" t="e">
        <v>#VALUE!</v>
      </c>
      <c r="AH704" t="e">
        <v>#VALUE!</v>
      </c>
      <c r="AI704" t="e">
        <v>#VALUE!</v>
      </c>
      <c r="AJ704" t="e">
        <v>#VALUE!</v>
      </c>
      <c r="AK704" t="e">
        <v>#VALUE!</v>
      </c>
      <c r="AL704" t="s">
        <v>105</v>
      </c>
      <c r="AM704" t="e">
        <v>#VALUE!</v>
      </c>
    </row>
    <row r="705" spans="32:39" hidden="1">
      <c r="AF705" t="e">
        <v>#VALUE!</v>
      </c>
      <c r="AG705" t="e">
        <v>#VALUE!</v>
      </c>
      <c r="AH705" t="e">
        <v>#VALUE!</v>
      </c>
      <c r="AI705" t="e">
        <v>#VALUE!</v>
      </c>
      <c r="AJ705" t="e">
        <v>#VALUE!</v>
      </c>
      <c r="AK705" t="e">
        <v>#VALUE!</v>
      </c>
      <c r="AL705" t="s">
        <v>105</v>
      </c>
      <c r="AM705" t="e">
        <v>#VALUE!</v>
      </c>
    </row>
    <row r="706" spans="32:39" hidden="1">
      <c r="AF706" t="e">
        <v>#VALUE!</v>
      </c>
      <c r="AG706" t="e">
        <v>#VALUE!</v>
      </c>
      <c r="AH706" t="e">
        <v>#VALUE!</v>
      </c>
      <c r="AI706" t="e">
        <v>#VALUE!</v>
      </c>
      <c r="AJ706" t="e">
        <v>#VALUE!</v>
      </c>
      <c r="AK706" t="e">
        <v>#VALUE!</v>
      </c>
      <c r="AL706" t="s">
        <v>105</v>
      </c>
      <c r="AM706" t="e">
        <v>#VALUE!</v>
      </c>
    </row>
    <row r="707" spans="32:39" hidden="1">
      <c r="AF707" t="e">
        <v>#VALUE!</v>
      </c>
      <c r="AG707" t="e">
        <v>#VALUE!</v>
      </c>
      <c r="AH707" t="e">
        <v>#VALUE!</v>
      </c>
      <c r="AI707" t="e">
        <v>#VALUE!</v>
      </c>
      <c r="AJ707" t="e">
        <v>#VALUE!</v>
      </c>
      <c r="AK707" t="e">
        <v>#VALUE!</v>
      </c>
      <c r="AL707" t="s">
        <v>105</v>
      </c>
      <c r="AM707" t="e">
        <v>#VALUE!</v>
      </c>
    </row>
    <row r="708" spans="32:39" hidden="1">
      <c r="AF708" t="e">
        <v>#VALUE!</v>
      </c>
      <c r="AG708" t="e">
        <v>#VALUE!</v>
      </c>
      <c r="AH708" t="e">
        <v>#VALUE!</v>
      </c>
      <c r="AI708" t="e">
        <v>#VALUE!</v>
      </c>
      <c r="AJ708" t="e">
        <v>#VALUE!</v>
      </c>
      <c r="AK708" t="e">
        <v>#VALUE!</v>
      </c>
      <c r="AL708" t="s">
        <v>105</v>
      </c>
      <c r="AM708" t="e">
        <v>#VALUE!</v>
      </c>
    </row>
    <row r="709" spans="32:39" hidden="1">
      <c r="AF709" t="e">
        <v>#VALUE!</v>
      </c>
      <c r="AG709" t="e">
        <v>#VALUE!</v>
      </c>
      <c r="AH709" t="e">
        <v>#VALUE!</v>
      </c>
      <c r="AI709" t="e">
        <v>#VALUE!</v>
      </c>
      <c r="AJ709" t="e">
        <v>#VALUE!</v>
      </c>
      <c r="AK709" t="e">
        <v>#VALUE!</v>
      </c>
      <c r="AL709" t="s">
        <v>105</v>
      </c>
      <c r="AM709" t="e">
        <v>#VALUE!</v>
      </c>
    </row>
    <row r="710" spans="32:39" hidden="1">
      <c r="AF710" t="e">
        <v>#VALUE!</v>
      </c>
      <c r="AG710" t="e">
        <v>#VALUE!</v>
      </c>
      <c r="AH710" t="e">
        <v>#VALUE!</v>
      </c>
      <c r="AI710" t="e">
        <v>#VALUE!</v>
      </c>
      <c r="AJ710" t="e">
        <v>#VALUE!</v>
      </c>
      <c r="AK710" t="e">
        <v>#VALUE!</v>
      </c>
      <c r="AL710" t="s">
        <v>105</v>
      </c>
      <c r="AM710" t="e">
        <v>#VALUE!</v>
      </c>
    </row>
    <row r="711" spans="32:39" hidden="1">
      <c r="AF711" t="e">
        <v>#VALUE!</v>
      </c>
      <c r="AG711" t="e">
        <v>#VALUE!</v>
      </c>
      <c r="AH711" t="e">
        <v>#VALUE!</v>
      </c>
      <c r="AI711" t="e">
        <v>#VALUE!</v>
      </c>
      <c r="AJ711" t="e">
        <v>#VALUE!</v>
      </c>
      <c r="AK711" t="e">
        <v>#VALUE!</v>
      </c>
      <c r="AL711" t="s">
        <v>105</v>
      </c>
      <c r="AM711" t="e">
        <v>#VALUE!</v>
      </c>
    </row>
    <row r="712" spans="32:39" hidden="1">
      <c r="AF712" t="e">
        <v>#VALUE!</v>
      </c>
      <c r="AG712" t="e">
        <v>#VALUE!</v>
      </c>
      <c r="AH712" t="e">
        <v>#VALUE!</v>
      </c>
      <c r="AI712" t="e">
        <v>#VALUE!</v>
      </c>
      <c r="AJ712" t="e">
        <v>#VALUE!</v>
      </c>
      <c r="AK712" t="e">
        <v>#VALUE!</v>
      </c>
      <c r="AL712" t="s">
        <v>105</v>
      </c>
      <c r="AM712" t="e">
        <v>#VALUE!</v>
      </c>
    </row>
    <row r="713" spans="32:39" hidden="1">
      <c r="AF713" t="e">
        <v>#VALUE!</v>
      </c>
      <c r="AG713" t="e">
        <v>#VALUE!</v>
      </c>
      <c r="AH713" t="e">
        <v>#VALUE!</v>
      </c>
      <c r="AI713" t="e">
        <v>#VALUE!</v>
      </c>
      <c r="AJ713" t="e">
        <v>#VALUE!</v>
      </c>
      <c r="AK713" t="e">
        <v>#VALUE!</v>
      </c>
      <c r="AL713" t="s">
        <v>105</v>
      </c>
      <c r="AM713" t="e">
        <v>#VALUE!</v>
      </c>
    </row>
    <row r="714" spans="32:39" hidden="1">
      <c r="AF714" t="e">
        <v>#VALUE!</v>
      </c>
      <c r="AG714" t="e">
        <v>#VALUE!</v>
      </c>
      <c r="AH714" t="e">
        <v>#VALUE!</v>
      </c>
      <c r="AI714" t="e">
        <v>#VALUE!</v>
      </c>
      <c r="AJ714" t="e">
        <v>#VALUE!</v>
      </c>
      <c r="AK714" t="e">
        <v>#VALUE!</v>
      </c>
      <c r="AL714" t="s">
        <v>105</v>
      </c>
      <c r="AM714" t="e">
        <v>#VALUE!</v>
      </c>
    </row>
    <row r="715" spans="32:39" hidden="1">
      <c r="AF715" t="e">
        <v>#VALUE!</v>
      </c>
      <c r="AG715" t="e">
        <v>#VALUE!</v>
      </c>
      <c r="AH715" t="e">
        <v>#VALUE!</v>
      </c>
      <c r="AI715" t="e">
        <v>#VALUE!</v>
      </c>
      <c r="AJ715" t="e">
        <v>#VALUE!</v>
      </c>
      <c r="AK715" t="e">
        <v>#VALUE!</v>
      </c>
      <c r="AL715" t="s">
        <v>105</v>
      </c>
      <c r="AM715" t="e">
        <v>#VALUE!</v>
      </c>
    </row>
    <row r="716" spans="32:39" hidden="1">
      <c r="AF716" t="e">
        <v>#VALUE!</v>
      </c>
      <c r="AG716" t="e">
        <v>#VALUE!</v>
      </c>
      <c r="AH716" t="e">
        <v>#VALUE!</v>
      </c>
      <c r="AI716" t="e">
        <v>#VALUE!</v>
      </c>
      <c r="AJ716" t="e">
        <v>#VALUE!</v>
      </c>
      <c r="AK716" t="e">
        <v>#VALUE!</v>
      </c>
      <c r="AL716" t="s">
        <v>105</v>
      </c>
      <c r="AM716" t="e">
        <v>#VALUE!</v>
      </c>
    </row>
    <row r="717" spans="32:39" hidden="1">
      <c r="AF717" t="e">
        <v>#VALUE!</v>
      </c>
      <c r="AG717" t="e">
        <v>#VALUE!</v>
      </c>
      <c r="AH717" t="e">
        <v>#VALUE!</v>
      </c>
      <c r="AI717" t="e">
        <v>#VALUE!</v>
      </c>
      <c r="AJ717" t="e">
        <v>#VALUE!</v>
      </c>
      <c r="AK717" t="e">
        <v>#VALUE!</v>
      </c>
      <c r="AL717" t="s">
        <v>105</v>
      </c>
      <c r="AM717" t="e">
        <v>#VALUE!</v>
      </c>
    </row>
    <row r="718" spans="32:39" hidden="1">
      <c r="AF718" t="e">
        <v>#VALUE!</v>
      </c>
      <c r="AG718" t="e">
        <v>#VALUE!</v>
      </c>
      <c r="AH718" t="e">
        <v>#VALUE!</v>
      </c>
      <c r="AI718" t="e">
        <v>#VALUE!</v>
      </c>
      <c r="AJ718" t="e">
        <v>#VALUE!</v>
      </c>
      <c r="AK718" t="e">
        <v>#VALUE!</v>
      </c>
      <c r="AL718" t="s">
        <v>105</v>
      </c>
      <c r="AM718" t="e">
        <v>#VALUE!</v>
      </c>
    </row>
    <row r="719" spans="32:39" hidden="1">
      <c r="AF719" t="e">
        <v>#VALUE!</v>
      </c>
      <c r="AG719" t="e">
        <v>#VALUE!</v>
      </c>
      <c r="AH719" t="e">
        <v>#VALUE!</v>
      </c>
      <c r="AI719" t="e">
        <v>#VALUE!</v>
      </c>
      <c r="AJ719" t="e">
        <v>#VALUE!</v>
      </c>
      <c r="AK719" t="e">
        <v>#VALUE!</v>
      </c>
      <c r="AL719" t="s">
        <v>105</v>
      </c>
      <c r="AM719" t="e">
        <v>#VALUE!</v>
      </c>
    </row>
    <row r="720" spans="32:39" hidden="1">
      <c r="AF720" t="e">
        <v>#VALUE!</v>
      </c>
      <c r="AG720" t="e">
        <v>#VALUE!</v>
      </c>
      <c r="AH720" t="e">
        <v>#VALUE!</v>
      </c>
      <c r="AI720" t="e">
        <v>#VALUE!</v>
      </c>
      <c r="AJ720" t="e">
        <v>#VALUE!</v>
      </c>
      <c r="AK720" t="e">
        <v>#VALUE!</v>
      </c>
      <c r="AL720" t="s">
        <v>105</v>
      </c>
      <c r="AM720" t="e">
        <v>#VALUE!</v>
      </c>
    </row>
    <row r="721" spans="32:39" hidden="1">
      <c r="AF721" t="e">
        <v>#VALUE!</v>
      </c>
      <c r="AG721" t="e">
        <v>#VALUE!</v>
      </c>
      <c r="AH721" t="e">
        <v>#VALUE!</v>
      </c>
      <c r="AI721" t="e">
        <v>#VALUE!</v>
      </c>
      <c r="AJ721" t="e">
        <v>#VALUE!</v>
      </c>
      <c r="AK721" t="e">
        <v>#VALUE!</v>
      </c>
      <c r="AL721" t="s">
        <v>105</v>
      </c>
      <c r="AM721" t="e">
        <v>#VALUE!</v>
      </c>
    </row>
    <row r="722" spans="32:39" hidden="1">
      <c r="AF722" t="e">
        <v>#VALUE!</v>
      </c>
      <c r="AG722" t="e">
        <v>#VALUE!</v>
      </c>
      <c r="AH722" t="e">
        <v>#VALUE!</v>
      </c>
      <c r="AI722" t="e">
        <v>#VALUE!</v>
      </c>
      <c r="AJ722" t="e">
        <v>#VALUE!</v>
      </c>
      <c r="AK722" t="e">
        <v>#VALUE!</v>
      </c>
      <c r="AL722" t="s">
        <v>105</v>
      </c>
      <c r="AM722" t="e">
        <v>#VALUE!</v>
      </c>
    </row>
    <row r="723" spans="32:39" hidden="1">
      <c r="AF723" t="e">
        <v>#VALUE!</v>
      </c>
      <c r="AG723" t="e">
        <v>#VALUE!</v>
      </c>
      <c r="AH723" t="e">
        <v>#VALUE!</v>
      </c>
      <c r="AI723" t="e">
        <v>#VALUE!</v>
      </c>
      <c r="AJ723" t="e">
        <v>#VALUE!</v>
      </c>
      <c r="AK723" t="e">
        <v>#VALUE!</v>
      </c>
      <c r="AL723" t="s">
        <v>105</v>
      </c>
      <c r="AM723" t="e">
        <v>#VALUE!</v>
      </c>
    </row>
    <row r="724" spans="32:39" hidden="1">
      <c r="AF724" t="e">
        <v>#VALUE!</v>
      </c>
      <c r="AG724" t="e">
        <v>#VALUE!</v>
      </c>
      <c r="AH724" t="e">
        <v>#VALUE!</v>
      </c>
      <c r="AI724" t="e">
        <v>#VALUE!</v>
      </c>
      <c r="AJ724" t="e">
        <v>#VALUE!</v>
      </c>
      <c r="AK724" t="e">
        <v>#VALUE!</v>
      </c>
      <c r="AL724" t="s">
        <v>105</v>
      </c>
      <c r="AM724" t="e">
        <v>#VALUE!</v>
      </c>
    </row>
    <row r="725" spans="32:39" hidden="1">
      <c r="AF725" t="e">
        <v>#VALUE!</v>
      </c>
      <c r="AG725" t="e">
        <v>#VALUE!</v>
      </c>
      <c r="AH725" t="e">
        <v>#VALUE!</v>
      </c>
      <c r="AI725" t="e">
        <v>#VALUE!</v>
      </c>
      <c r="AJ725" t="e">
        <v>#VALUE!</v>
      </c>
      <c r="AK725" t="e">
        <v>#VALUE!</v>
      </c>
      <c r="AL725" t="s">
        <v>105</v>
      </c>
      <c r="AM725" t="e">
        <v>#VALUE!</v>
      </c>
    </row>
    <row r="726" spans="32:39" hidden="1">
      <c r="AF726" t="e">
        <v>#VALUE!</v>
      </c>
      <c r="AG726" t="e">
        <v>#VALUE!</v>
      </c>
      <c r="AH726" t="e">
        <v>#VALUE!</v>
      </c>
      <c r="AI726" t="e">
        <v>#VALUE!</v>
      </c>
      <c r="AJ726" t="e">
        <v>#VALUE!</v>
      </c>
      <c r="AK726" t="e">
        <v>#VALUE!</v>
      </c>
      <c r="AL726" t="s">
        <v>105</v>
      </c>
      <c r="AM726" t="e">
        <v>#VALUE!</v>
      </c>
    </row>
    <row r="727" spans="32:39" hidden="1">
      <c r="AF727" t="e">
        <v>#VALUE!</v>
      </c>
      <c r="AG727" t="e">
        <v>#VALUE!</v>
      </c>
      <c r="AH727" t="e">
        <v>#VALUE!</v>
      </c>
      <c r="AI727" t="e">
        <v>#VALUE!</v>
      </c>
      <c r="AJ727" t="e">
        <v>#VALUE!</v>
      </c>
      <c r="AK727" t="e">
        <v>#VALUE!</v>
      </c>
      <c r="AL727" t="s">
        <v>105</v>
      </c>
      <c r="AM727" t="e">
        <v>#VALUE!</v>
      </c>
    </row>
    <row r="728" spans="32:39" hidden="1">
      <c r="AF728" t="e">
        <v>#VALUE!</v>
      </c>
      <c r="AG728" t="e">
        <v>#VALUE!</v>
      </c>
      <c r="AH728" t="e">
        <v>#VALUE!</v>
      </c>
      <c r="AI728" t="e">
        <v>#VALUE!</v>
      </c>
      <c r="AJ728" t="e">
        <v>#VALUE!</v>
      </c>
      <c r="AK728" t="e">
        <v>#VALUE!</v>
      </c>
      <c r="AL728" t="s">
        <v>105</v>
      </c>
      <c r="AM728" t="e">
        <v>#VALUE!</v>
      </c>
    </row>
    <row r="729" spans="32:39" hidden="1">
      <c r="AF729" t="e">
        <v>#VALUE!</v>
      </c>
      <c r="AG729" t="e">
        <v>#VALUE!</v>
      </c>
      <c r="AH729" t="e">
        <v>#VALUE!</v>
      </c>
      <c r="AI729" t="e">
        <v>#VALUE!</v>
      </c>
      <c r="AJ729" t="e">
        <v>#VALUE!</v>
      </c>
      <c r="AK729" t="e">
        <v>#VALUE!</v>
      </c>
      <c r="AL729" t="s">
        <v>105</v>
      </c>
      <c r="AM729" t="e">
        <v>#VALUE!</v>
      </c>
    </row>
    <row r="730" spans="32:39" hidden="1">
      <c r="AF730" t="e">
        <v>#VALUE!</v>
      </c>
      <c r="AG730" t="e">
        <v>#VALUE!</v>
      </c>
      <c r="AH730" t="e">
        <v>#VALUE!</v>
      </c>
      <c r="AI730" t="e">
        <v>#VALUE!</v>
      </c>
      <c r="AJ730" t="e">
        <v>#VALUE!</v>
      </c>
      <c r="AK730" t="e">
        <v>#VALUE!</v>
      </c>
      <c r="AL730" t="s">
        <v>105</v>
      </c>
      <c r="AM730" t="e">
        <v>#VALUE!</v>
      </c>
    </row>
    <row r="731" spans="32:39" hidden="1">
      <c r="AF731" t="e">
        <v>#VALUE!</v>
      </c>
      <c r="AG731" t="e">
        <v>#VALUE!</v>
      </c>
      <c r="AH731" t="e">
        <v>#VALUE!</v>
      </c>
      <c r="AI731" t="e">
        <v>#VALUE!</v>
      </c>
      <c r="AJ731" t="e">
        <v>#VALUE!</v>
      </c>
      <c r="AK731" t="e">
        <v>#VALUE!</v>
      </c>
      <c r="AL731" t="s">
        <v>105</v>
      </c>
      <c r="AM731" t="e">
        <v>#VALUE!</v>
      </c>
    </row>
    <row r="732" spans="32:39" hidden="1">
      <c r="AF732" t="e">
        <v>#VALUE!</v>
      </c>
      <c r="AG732" t="e">
        <v>#VALUE!</v>
      </c>
      <c r="AH732" t="e">
        <v>#VALUE!</v>
      </c>
      <c r="AI732" t="e">
        <v>#VALUE!</v>
      </c>
      <c r="AJ732" t="e">
        <v>#VALUE!</v>
      </c>
      <c r="AK732" t="e">
        <v>#VALUE!</v>
      </c>
      <c r="AL732" t="s">
        <v>105</v>
      </c>
      <c r="AM732" t="e">
        <v>#VALUE!</v>
      </c>
    </row>
    <row r="733" spans="32:39" hidden="1">
      <c r="AF733" t="e">
        <v>#VALUE!</v>
      </c>
      <c r="AG733" t="e">
        <v>#VALUE!</v>
      </c>
      <c r="AH733" t="e">
        <v>#VALUE!</v>
      </c>
      <c r="AI733" t="e">
        <v>#VALUE!</v>
      </c>
      <c r="AJ733" t="e">
        <v>#VALUE!</v>
      </c>
      <c r="AK733" t="e">
        <v>#VALUE!</v>
      </c>
      <c r="AL733" t="s">
        <v>105</v>
      </c>
      <c r="AM733" t="e">
        <v>#VALUE!</v>
      </c>
    </row>
    <row r="734" spans="32:39" hidden="1">
      <c r="AF734" t="e">
        <v>#VALUE!</v>
      </c>
      <c r="AG734" t="e">
        <v>#VALUE!</v>
      </c>
      <c r="AH734" t="e">
        <v>#VALUE!</v>
      </c>
      <c r="AI734" t="e">
        <v>#VALUE!</v>
      </c>
      <c r="AJ734" t="e">
        <v>#VALUE!</v>
      </c>
      <c r="AK734" t="e">
        <v>#VALUE!</v>
      </c>
      <c r="AL734" t="s">
        <v>105</v>
      </c>
      <c r="AM734" t="e">
        <v>#VALUE!</v>
      </c>
    </row>
    <row r="735" spans="32:39" hidden="1">
      <c r="AF735" t="e">
        <v>#VALUE!</v>
      </c>
      <c r="AG735" t="e">
        <v>#VALUE!</v>
      </c>
      <c r="AH735" t="e">
        <v>#VALUE!</v>
      </c>
      <c r="AI735" t="e">
        <v>#VALUE!</v>
      </c>
      <c r="AJ735" t="e">
        <v>#VALUE!</v>
      </c>
      <c r="AK735" t="e">
        <v>#VALUE!</v>
      </c>
      <c r="AL735" t="s">
        <v>105</v>
      </c>
      <c r="AM735" t="e">
        <v>#VALUE!</v>
      </c>
    </row>
    <row r="736" spans="32:39" hidden="1">
      <c r="AF736" t="e">
        <v>#VALUE!</v>
      </c>
      <c r="AG736" t="e">
        <v>#VALUE!</v>
      </c>
      <c r="AH736" t="e">
        <v>#VALUE!</v>
      </c>
      <c r="AI736" t="e">
        <v>#VALUE!</v>
      </c>
      <c r="AJ736" t="e">
        <v>#VALUE!</v>
      </c>
      <c r="AK736" t="e">
        <v>#VALUE!</v>
      </c>
      <c r="AL736" t="s">
        <v>105</v>
      </c>
      <c r="AM736" t="e">
        <v>#VALUE!</v>
      </c>
    </row>
    <row r="737" spans="32:39" hidden="1">
      <c r="AF737" t="e">
        <v>#VALUE!</v>
      </c>
      <c r="AG737" t="e">
        <v>#VALUE!</v>
      </c>
      <c r="AH737" t="e">
        <v>#VALUE!</v>
      </c>
      <c r="AI737" t="e">
        <v>#VALUE!</v>
      </c>
      <c r="AJ737" t="e">
        <v>#VALUE!</v>
      </c>
      <c r="AK737" t="e">
        <v>#VALUE!</v>
      </c>
      <c r="AL737" t="s">
        <v>105</v>
      </c>
      <c r="AM737" t="e">
        <v>#VALUE!</v>
      </c>
    </row>
    <row r="738" spans="32:39" hidden="1">
      <c r="AF738" t="e">
        <v>#VALUE!</v>
      </c>
      <c r="AG738" t="e">
        <v>#VALUE!</v>
      </c>
      <c r="AH738" t="e">
        <v>#VALUE!</v>
      </c>
      <c r="AI738" t="e">
        <v>#VALUE!</v>
      </c>
      <c r="AJ738" t="e">
        <v>#VALUE!</v>
      </c>
      <c r="AK738" t="e">
        <v>#VALUE!</v>
      </c>
      <c r="AL738" t="s">
        <v>105</v>
      </c>
      <c r="AM738" t="e">
        <v>#VALUE!</v>
      </c>
    </row>
    <row r="739" spans="32:39" hidden="1">
      <c r="AF739" t="e">
        <v>#VALUE!</v>
      </c>
      <c r="AG739" t="e">
        <v>#VALUE!</v>
      </c>
      <c r="AH739" t="e">
        <v>#VALUE!</v>
      </c>
      <c r="AI739" t="e">
        <v>#VALUE!</v>
      </c>
      <c r="AJ739" t="e">
        <v>#VALUE!</v>
      </c>
      <c r="AK739" t="e">
        <v>#VALUE!</v>
      </c>
      <c r="AL739" t="s">
        <v>105</v>
      </c>
      <c r="AM739" t="e">
        <v>#VALUE!</v>
      </c>
    </row>
    <row r="740" spans="32:39" hidden="1">
      <c r="AF740" t="e">
        <v>#VALUE!</v>
      </c>
      <c r="AG740" t="e">
        <v>#VALUE!</v>
      </c>
      <c r="AH740" t="e">
        <v>#VALUE!</v>
      </c>
      <c r="AI740" t="e">
        <v>#VALUE!</v>
      </c>
      <c r="AJ740" t="e">
        <v>#VALUE!</v>
      </c>
      <c r="AK740" t="e">
        <v>#VALUE!</v>
      </c>
      <c r="AL740" t="s">
        <v>105</v>
      </c>
      <c r="AM740" t="e">
        <v>#VALUE!</v>
      </c>
    </row>
    <row r="741" spans="32:39" hidden="1">
      <c r="AF741" t="e">
        <v>#VALUE!</v>
      </c>
      <c r="AG741" t="e">
        <v>#VALUE!</v>
      </c>
      <c r="AH741" t="e">
        <v>#VALUE!</v>
      </c>
      <c r="AI741" t="e">
        <v>#VALUE!</v>
      </c>
      <c r="AJ741" t="e">
        <v>#VALUE!</v>
      </c>
      <c r="AK741" t="e">
        <v>#VALUE!</v>
      </c>
      <c r="AL741" t="s">
        <v>105</v>
      </c>
      <c r="AM741" t="e">
        <v>#VALUE!</v>
      </c>
    </row>
    <row r="742" spans="32:39" hidden="1">
      <c r="AF742" t="e">
        <v>#VALUE!</v>
      </c>
      <c r="AG742" t="e">
        <v>#VALUE!</v>
      </c>
      <c r="AH742" t="e">
        <v>#VALUE!</v>
      </c>
      <c r="AI742" t="e">
        <v>#VALUE!</v>
      </c>
      <c r="AJ742" t="e">
        <v>#VALUE!</v>
      </c>
      <c r="AK742" t="e">
        <v>#VALUE!</v>
      </c>
      <c r="AL742" t="s">
        <v>105</v>
      </c>
      <c r="AM742" t="e">
        <v>#VALUE!</v>
      </c>
    </row>
    <row r="743" spans="32:39" hidden="1">
      <c r="AF743" t="e">
        <v>#VALUE!</v>
      </c>
      <c r="AG743" t="e">
        <v>#VALUE!</v>
      </c>
      <c r="AH743" t="e">
        <v>#VALUE!</v>
      </c>
      <c r="AI743" t="e">
        <v>#VALUE!</v>
      </c>
      <c r="AJ743" t="e">
        <v>#VALUE!</v>
      </c>
      <c r="AK743" t="e">
        <v>#VALUE!</v>
      </c>
      <c r="AL743" t="s">
        <v>105</v>
      </c>
      <c r="AM743" t="e">
        <v>#VALUE!</v>
      </c>
    </row>
    <row r="744" spans="32:39" hidden="1">
      <c r="AF744" t="e">
        <v>#VALUE!</v>
      </c>
      <c r="AG744" t="e">
        <v>#VALUE!</v>
      </c>
      <c r="AH744" t="e">
        <v>#VALUE!</v>
      </c>
      <c r="AI744" t="e">
        <v>#VALUE!</v>
      </c>
      <c r="AJ744" t="e">
        <v>#VALUE!</v>
      </c>
      <c r="AK744" t="e">
        <v>#VALUE!</v>
      </c>
      <c r="AL744" t="s">
        <v>105</v>
      </c>
      <c r="AM744" t="e">
        <v>#VALUE!</v>
      </c>
    </row>
    <row r="745" spans="32:39" hidden="1">
      <c r="AF745" t="e">
        <v>#VALUE!</v>
      </c>
      <c r="AG745" t="e">
        <v>#VALUE!</v>
      </c>
      <c r="AH745" t="e">
        <v>#VALUE!</v>
      </c>
      <c r="AI745" t="e">
        <v>#VALUE!</v>
      </c>
      <c r="AJ745" t="e">
        <v>#VALUE!</v>
      </c>
      <c r="AK745" t="e">
        <v>#VALUE!</v>
      </c>
      <c r="AL745" t="s">
        <v>105</v>
      </c>
      <c r="AM745" t="e">
        <v>#VALUE!</v>
      </c>
    </row>
    <row r="746" spans="32:39" hidden="1">
      <c r="AF746" t="e">
        <v>#VALUE!</v>
      </c>
      <c r="AG746" t="e">
        <v>#VALUE!</v>
      </c>
      <c r="AH746" t="e">
        <v>#VALUE!</v>
      </c>
      <c r="AI746" t="e">
        <v>#VALUE!</v>
      </c>
      <c r="AJ746" t="e">
        <v>#VALUE!</v>
      </c>
      <c r="AK746" t="e">
        <v>#VALUE!</v>
      </c>
      <c r="AL746" t="s">
        <v>105</v>
      </c>
      <c r="AM746" t="e">
        <v>#VALUE!</v>
      </c>
    </row>
    <row r="747" spans="32:39" hidden="1">
      <c r="AF747" t="e">
        <v>#VALUE!</v>
      </c>
      <c r="AG747" t="e">
        <v>#VALUE!</v>
      </c>
      <c r="AH747" t="e">
        <v>#VALUE!</v>
      </c>
      <c r="AI747" t="e">
        <v>#VALUE!</v>
      </c>
      <c r="AJ747" t="e">
        <v>#VALUE!</v>
      </c>
      <c r="AK747" t="e">
        <v>#VALUE!</v>
      </c>
      <c r="AL747" t="s">
        <v>105</v>
      </c>
      <c r="AM747" t="e">
        <v>#VALUE!</v>
      </c>
    </row>
    <row r="748" spans="32:39" hidden="1">
      <c r="AF748" t="e">
        <v>#VALUE!</v>
      </c>
      <c r="AG748" t="e">
        <v>#VALUE!</v>
      </c>
      <c r="AH748" t="e">
        <v>#VALUE!</v>
      </c>
      <c r="AI748" t="e">
        <v>#VALUE!</v>
      </c>
      <c r="AJ748" t="e">
        <v>#VALUE!</v>
      </c>
      <c r="AK748" t="e">
        <v>#VALUE!</v>
      </c>
      <c r="AL748" t="s">
        <v>105</v>
      </c>
      <c r="AM748" t="e">
        <v>#VALUE!</v>
      </c>
    </row>
    <row r="749" spans="32:39" hidden="1">
      <c r="AF749" t="e">
        <v>#VALUE!</v>
      </c>
      <c r="AG749" t="e">
        <v>#VALUE!</v>
      </c>
      <c r="AH749" t="e">
        <v>#VALUE!</v>
      </c>
      <c r="AI749" t="e">
        <v>#VALUE!</v>
      </c>
      <c r="AJ749" t="e">
        <v>#VALUE!</v>
      </c>
      <c r="AK749" t="e">
        <v>#VALUE!</v>
      </c>
      <c r="AL749" t="s">
        <v>105</v>
      </c>
      <c r="AM749" t="e">
        <v>#VALUE!</v>
      </c>
    </row>
    <row r="750" spans="32:39" hidden="1">
      <c r="AF750" t="e">
        <v>#VALUE!</v>
      </c>
      <c r="AG750" t="e">
        <v>#VALUE!</v>
      </c>
      <c r="AH750" t="e">
        <v>#VALUE!</v>
      </c>
      <c r="AI750" t="e">
        <v>#VALUE!</v>
      </c>
      <c r="AJ750" t="e">
        <v>#VALUE!</v>
      </c>
      <c r="AK750" t="e">
        <v>#VALUE!</v>
      </c>
      <c r="AL750" t="s">
        <v>105</v>
      </c>
      <c r="AM750" t="e">
        <v>#VALUE!</v>
      </c>
    </row>
    <row r="751" spans="32:39" hidden="1">
      <c r="AF751" t="e">
        <v>#VALUE!</v>
      </c>
      <c r="AG751" t="e">
        <v>#VALUE!</v>
      </c>
      <c r="AH751" t="e">
        <v>#VALUE!</v>
      </c>
      <c r="AI751" t="e">
        <v>#VALUE!</v>
      </c>
      <c r="AJ751" t="e">
        <v>#VALUE!</v>
      </c>
      <c r="AK751" t="e">
        <v>#VALUE!</v>
      </c>
      <c r="AL751" t="s">
        <v>105</v>
      </c>
      <c r="AM751" t="e">
        <v>#VALUE!</v>
      </c>
    </row>
    <row r="752" spans="32:39" hidden="1">
      <c r="AF752" t="e">
        <v>#VALUE!</v>
      </c>
      <c r="AG752" t="e">
        <v>#VALUE!</v>
      </c>
      <c r="AH752" t="e">
        <v>#VALUE!</v>
      </c>
      <c r="AI752" t="e">
        <v>#VALUE!</v>
      </c>
      <c r="AJ752" t="e">
        <v>#VALUE!</v>
      </c>
      <c r="AK752" t="e">
        <v>#VALUE!</v>
      </c>
      <c r="AL752" t="s">
        <v>105</v>
      </c>
      <c r="AM752" t="e">
        <v>#VALUE!</v>
      </c>
    </row>
    <row r="753" spans="32:39" hidden="1">
      <c r="AF753" t="e">
        <v>#VALUE!</v>
      </c>
      <c r="AG753" t="e">
        <v>#VALUE!</v>
      </c>
      <c r="AH753" t="e">
        <v>#VALUE!</v>
      </c>
      <c r="AI753" t="e">
        <v>#VALUE!</v>
      </c>
      <c r="AJ753" t="e">
        <v>#VALUE!</v>
      </c>
      <c r="AK753" t="e">
        <v>#VALUE!</v>
      </c>
      <c r="AL753" t="s">
        <v>105</v>
      </c>
      <c r="AM753" t="e">
        <v>#VALUE!</v>
      </c>
    </row>
    <row r="754" spans="32:39" hidden="1">
      <c r="AF754" t="e">
        <v>#VALUE!</v>
      </c>
      <c r="AG754" t="e">
        <v>#VALUE!</v>
      </c>
      <c r="AH754" t="e">
        <v>#VALUE!</v>
      </c>
      <c r="AI754" t="e">
        <v>#VALUE!</v>
      </c>
      <c r="AJ754" t="e">
        <v>#VALUE!</v>
      </c>
      <c r="AK754" t="e">
        <v>#VALUE!</v>
      </c>
      <c r="AL754" t="s">
        <v>105</v>
      </c>
      <c r="AM754" t="e">
        <v>#VALUE!</v>
      </c>
    </row>
    <row r="755" spans="32:39" hidden="1">
      <c r="AF755" t="e">
        <v>#VALUE!</v>
      </c>
      <c r="AG755" t="e">
        <v>#VALUE!</v>
      </c>
      <c r="AH755" t="e">
        <v>#VALUE!</v>
      </c>
      <c r="AI755" t="e">
        <v>#VALUE!</v>
      </c>
      <c r="AJ755" t="e">
        <v>#VALUE!</v>
      </c>
      <c r="AK755" t="e">
        <v>#VALUE!</v>
      </c>
      <c r="AL755" t="s">
        <v>105</v>
      </c>
      <c r="AM755" t="e">
        <v>#VALUE!</v>
      </c>
    </row>
    <row r="756" spans="32:39" hidden="1">
      <c r="AF756" t="e">
        <v>#VALUE!</v>
      </c>
      <c r="AG756" t="e">
        <v>#VALUE!</v>
      </c>
      <c r="AH756" t="e">
        <v>#VALUE!</v>
      </c>
      <c r="AI756" t="e">
        <v>#VALUE!</v>
      </c>
      <c r="AJ756" t="e">
        <v>#VALUE!</v>
      </c>
      <c r="AK756" t="e">
        <v>#VALUE!</v>
      </c>
      <c r="AL756" t="s">
        <v>105</v>
      </c>
      <c r="AM756" t="e">
        <v>#VALUE!</v>
      </c>
    </row>
    <row r="757" spans="32:39" hidden="1">
      <c r="AF757" t="e">
        <v>#VALUE!</v>
      </c>
      <c r="AG757" t="e">
        <v>#VALUE!</v>
      </c>
      <c r="AH757" t="e">
        <v>#VALUE!</v>
      </c>
      <c r="AI757" t="e">
        <v>#VALUE!</v>
      </c>
      <c r="AJ757" t="e">
        <v>#VALUE!</v>
      </c>
      <c r="AK757" t="e">
        <v>#VALUE!</v>
      </c>
      <c r="AL757" t="s">
        <v>105</v>
      </c>
      <c r="AM757" t="e">
        <v>#VALUE!</v>
      </c>
    </row>
    <row r="758" spans="32:39" hidden="1">
      <c r="AF758" t="e">
        <v>#VALUE!</v>
      </c>
      <c r="AG758" t="e">
        <v>#VALUE!</v>
      </c>
      <c r="AH758" t="e">
        <v>#VALUE!</v>
      </c>
      <c r="AI758" t="e">
        <v>#VALUE!</v>
      </c>
      <c r="AJ758" t="e">
        <v>#VALUE!</v>
      </c>
      <c r="AK758" t="e">
        <v>#VALUE!</v>
      </c>
      <c r="AL758" t="s">
        <v>105</v>
      </c>
      <c r="AM758" t="e">
        <v>#VALUE!</v>
      </c>
    </row>
    <row r="759" spans="32:39" hidden="1">
      <c r="AF759" t="e">
        <v>#VALUE!</v>
      </c>
      <c r="AG759" t="e">
        <v>#VALUE!</v>
      </c>
      <c r="AH759" t="e">
        <v>#VALUE!</v>
      </c>
      <c r="AI759" t="e">
        <v>#VALUE!</v>
      </c>
      <c r="AJ759" t="e">
        <v>#VALUE!</v>
      </c>
      <c r="AK759" t="e">
        <v>#VALUE!</v>
      </c>
      <c r="AL759" t="s">
        <v>105</v>
      </c>
      <c r="AM759" t="e">
        <v>#VALUE!</v>
      </c>
    </row>
    <row r="760" spans="32:39" hidden="1">
      <c r="AF760" t="e">
        <v>#VALUE!</v>
      </c>
      <c r="AG760" t="e">
        <v>#VALUE!</v>
      </c>
      <c r="AH760" t="e">
        <v>#VALUE!</v>
      </c>
      <c r="AI760" t="e">
        <v>#VALUE!</v>
      </c>
      <c r="AJ760" t="e">
        <v>#VALUE!</v>
      </c>
      <c r="AK760" t="e">
        <v>#VALUE!</v>
      </c>
      <c r="AL760" t="s">
        <v>105</v>
      </c>
      <c r="AM760" t="e">
        <v>#VALUE!</v>
      </c>
    </row>
    <row r="761" spans="32:39" hidden="1">
      <c r="AF761" t="e">
        <v>#VALUE!</v>
      </c>
      <c r="AG761" t="e">
        <v>#VALUE!</v>
      </c>
      <c r="AH761" t="e">
        <v>#VALUE!</v>
      </c>
      <c r="AI761" t="e">
        <v>#VALUE!</v>
      </c>
      <c r="AJ761" t="e">
        <v>#VALUE!</v>
      </c>
      <c r="AK761" t="e">
        <v>#VALUE!</v>
      </c>
      <c r="AL761" t="s">
        <v>105</v>
      </c>
      <c r="AM761" t="e">
        <v>#VALUE!</v>
      </c>
    </row>
    <row r="762" spans="32:39" hidden="1">
      <c r="AF762" t="e">
        <v>#VALUE!</v>
      </c>
      <c r="AG762" t="e">
        <v>#VALUE!</v>
      </c>
      <c r="AH762" t="e">
        <v>#VALUE!</v>
      </c>
      <c r="AI762" t="e">
        <v>#VALUE!</v>
      </c>
      <c r="AJ762" t="e">
        <v>#VALUE!</v>
      </c>
      <c r="AK762" t="e">
        <v>#VALUE!</v>
      </c>
      <c r="AL762" t="s">
        <v>105</v>
      </c>
      <c r="AM762" t="e">
        <v>#VALUE!</v>
      </c>
    </row>
    <row r="763" spans="32:39" hidden="1">
      <c r="AF763" t="e">
        <v>#VALUE!</v>
      </c>
      <c r="AG763" t="e">
        <v>#VALUE!</v>
      </c>
      <c r="AH763" t="e">
        <v>#VALUE!</v>
      </c>
      <c r="AI763" t="e">
        <v>#VALUE!</v>
      </c>
      <c r="AJ763" t="e">
        <v>#VALUE!</v>
      </c>
      <c r="AK763" t="e">
        <v>#VALUE!</v>
      </c>
      <c r="AL763" t="s">
        <v>105</v>
      </c>
      <c r="AM763" t="e">
        <v>#VALUE!</v>
      </c>
    </row>
    <row r="764" spans="32:39" hidden="1">
      <c r="AF764" t="e">
        <v>#VALUE!</v>
      </c>
      <c r="AG764" t="e">
        <v>#VALUE!</v>
      </c>
      <c r="AH764" t="e">
        <v>#VALUE!</v>
      </c>
      <c r="AI764" t="e">
        <v>#VALUE!</v>
      </c>
      <c r="AJ764" t="e">
        <v>#VALUE!</v>
      </c>
      <c r="AK764" t="e">
        <v>#VALUE!</v>
      </c>
      <c r="AL764" t="s">
        <v>105</v>
      </c>
      <c r="AM764" t="e">
        <v>#VALUE!</v>
      </c>
    </row>
    <row r="765" spans="32:39" hidden="1">
      <c r="AF765" t="e">
        <v>#VALUE!</v>
      </c>
      <c r="AG765" t="e">
        <v>#VALUE!</v>
      </c>
      <c r="AH765" t="e">
        <v>#VALUE!</v>
      </c>
      <c r="AI765" t="e">
        <v>#VALUE!</v>
      </c>
      <c r="AJ765" t="e">
        <v>#VALUE!</v>
      </c>
      <c r="AK765" t="e">
        <v>#VALUE!</v>
      </c>
      <c r="AL765" t="s">
        <v>105</v>
      </c>
      <c r="AM765" t="e">
        <v>#VALUE!</v>
      </c>
    </row>
    <row r="766" spans="32:39" hidden="1">
      <c r="AF766" t="e">
        <v>#VALUE!</v>
      </c>
      <c r="AG766" t="e">
        <v>#VALUE!</v>
      </c>
      <c r="AH766" t="e">
        <v>#VALUE!</v>
      </c>
      <c r="AI766" t="e">
        <v>#VALUE!</v>
      </c>
      <c r="AJ766" t="e">
        <v>#VALUE!</v>
      </c>
      <c r="AK766" t="e">
        <v>#VALUE!</v>
      </c>
      <c r="AL766" t="s">
        <v>105</v>
      </c>
      <c r="AM766" t="e">
        <v>#VALUE!</v>
      </c>
    </row>
    <row r="767" spans="32:39" hidden="1">
      <c r="AF767" t="e">
        <v>#VALUE!</v>
      </c>
      <c r="AG767" t="e">
        <v>#VALUE!</v>
      </c>
      <c r="AH767" t="e">
        <v>#VALUE!</v>
      </c>
      <c r="AI767" t="e">
        <v>#VALUE!</v>
      </c>
      <c r="AJ767" t="e">
        <v>#VALUE!</v>
      </c>
      <c r="AK767" t="e">
        <v>#VALUE!</v>
      </c>
      <c r="AL767" t="s">
        <v>105</v>
      </c>
      <c r="AM767" t="e">
        <v>#VALUE!</v>
      </c>
    </row>
    <row r="768" spans="32:39" hidden="1">
      <c r="AF768" t="e">
        <v>#VALUE!</v>
      </c>
      <c r="AG768" t="e">
        <v>#VALUE!</v>
      </c>
      <c r="AH768" t="e">
        <v>#VALUE!</v>
      </c>
      <c r="AI768" t="e">
        <v>#VALUE!</v>
      </c>
      <c r="AJ768" t="e">
        <v>#VALUE!</v>
      </c>
      <c r="AK768" t="e">
        <v>#VALUE!</v>
      </c>
      <c r="AL768" t="s">
        <v>105</v>
      </c>
      <c r="AM768" t="e">
        <v>#VALUE!</v>
      </c>
    </row>
    <row r="769" spans="32:39" hidden="1">
      <c r="AF769" t="e">
        <v>#VALUE!</v>
      </c>
      <c r="AG769" t="e">
        <v>#VALUE!</v>
      </c>
      <c r="AH769" t="e">
        <v>#VALUE!</v>
      </c>
      <c r="AI769" t="e">
        <v>#VALUE!</v>
      </c>
      <c r="AJ769" t="e">
        <v>#VALUE!</v>
      </c>
      <c r="AK769" t="e">
        <v>#VALUE!</v>
      </c>
      <c r="AL769" t="s">
        <v>105</v>
      </c>
      <c r="AM769" t="e">
        <v>#VALUE!</v>
      </c>
    </row>
    <row r="770" spans="32:39" hidden="1">
      <c r="AF770" t="e">
        <v>#VALUE!</v>
      </c>
      <c r="AG770" t="e">
        <v>#VALUE!</v>
      </c>
      <c r="AH770" t="e">
        <v>#VALUE!</v>
      </c>
      <c r="AI770" t="e">
        <v>#VALUE!</v>
      </c>
      <c r="AJ770" t="e">
        <v>#VALUE!</v>
      </c>
      <c r="AK770" t="e">
        <v>#VALUE!</v>
      </c>
      <c r="AL770" t="s">
        <v>105</v>
      </c>
      <c r="AM770" t="e">
        <v>#VALUE!</v>
      </c>
    </row>
    <row r="771" spans="32:39" hidden="1">
      <c r="AF771" t="e">
        <v>#VALUE!</v>
      </c>
      <c r="AG771" t="e">
        <v>#VALUE!</v>
      </c>
      <c r="AH771" t="e">
        <v>#VALUE!</v>
      </c>
      <c r="AI771" t="e">
        <v>#VALUE!</v>
      </c>
      <c r="AJ771" t="e">
        <v>#VALUE!</v>
      </c>
      <c r="AK771" t="e">
        <v>#VALUE!</v>
      </c>
      <c r="AL771" t="s">
        <v>105</v>
      </c>
      <c r="AM771" t="e">
        <v>#VALUE!</v>
      </c>
    </row>
    <row r="772" spans="32:39" hidden="1">
      <c r="AF772" t="e">
        <v>#VALUE!</v>
      </c>
      <c r="AG772" t="e">
        <v>#VALUE!</v>
      </c>
      <c r="AH772" t="e">
        <v>#VALUE!</v>
      </c>
      <c r="AI772" t="e">
        <v>#VALUE!</v>
      </c>
      <c r="AJ772" t="e">
        <v>#VALUE!</v>
      </c>
      <c r="AK772" t="e">
        <v>#VALUE!</v>
      </c>
      <c r="AL772" t="s">
        <v>105</v>
      </c>
      <c r="AM772" t="e">
        <v>#VALUE!</v>
      </c>
    </row>
    <row r="773" spans="32:39" hidden="1">
      <c r="AF773" t="e">
        <v>#VALUE!</v>
      </c>
      <c r="AG773" t="e">
        <v>#VALUE!</v>
      </c>
      <c r="AH773" t="e">
        <v>#VALUE!</v>
      </c>
      <c r="AI773" t="e">
        <v>#VALUE!</v>
      </c>
      <c r="AJ773" t="e">
        <v>#VALUE!</v>
      </c>
      <c r="AK773" t="e">
        <v>#VALUE!</v>
      </c>
      <c r="AL773" t="s">
        <v>105</v>
      </c>
      <c r="AM773" t="e">
        <v>#VALUE!</v>
      </c>
    </row>
    <row r="774" spans="32:39" hidden="1">
      <c r="AF774" t="e">
        <v>#VALUE!</v>
      </c>
      <c r="AG774" t="e">
        <v>#VALUE!</v>
      </c>
      <c r="AH774" t="e">
        <v>#VALUE!</v>
      </c>
      <c r="AI774" t="e">
        <v>#VALUE!</v>
      </c>
      <c r="AJ774" t="e">
        <v>#VALUE!</v>
      </c>
      <c r="AK774" t="e">
        <v>#VALUE!</v>
      </c>
      <c r="AL774" t="s">
        <v>105</v>
      </c>
      <c r="AM774" t="e">
        <v>#VALUE!</v>
      </c>
    </row>
    <row r="775" spans="32:39" hidden="1">
      <c r="AF775" t="e">
        <v>#VALUE!</v>
      </c>
      <c r="AG775" t="e">
        <v>#VALUE!</v>
      </c>
      <c r="AH775" t="e">
        <v>#VALUE!</v>
      </c>
      <c r="AI775" t="e">
        <v>#VALUE!</v>
      </c>
      <c r="AJ775" t="e">
        <v>#VALUE!</v>
      </c>
      <c r="AK775" t="e">
        <v>#VALUE!</v>
      </c>
      <c r="AL775" t="s">
        <v>105</v>
      </c>
      <c r="AM775" t="e">
        <v>#VALUE!</v>
      </c>
    </row>
    <row r="776" spans="32:39" hidden="1">
      <c r="AF776" t="e">
        <v>#VALUE!</v>
      </c>
      <c r="AG776" t="e">
        <v>#VALUE!</v>
      </c>
      <c r="AH776" t="e">
        <v>#VALUE!</v>
      </c>
      <c r="AI776" t="e">
        <v>#VALUE!</v>
      </c>
      <c r="AJ776" t="e">
        <v>#VALUE!</v>
      </c>
      <c r="AK776" t="e">
        <v>#VALUE!</v>
      </c>
      <c r="AL776" t="s">
        <v>105</v>
      </c>
      <c r="AM776" t="e">
        <v>#VALUE!</v>
      </c>
    </row>
    <row r="777" spans="32:39" hidden="1">
      <c r="AF777" t="e">
        <v>#VALUE!</v>
      </c>
      <c r="AG777" t="e">
        <v>#VALUE!</v>
      </c>
      <c r="AH777" t="e">
        <v>#VALUE!</v>
      </c>
      <c r="AI777" t="e">
        <v>#VALUE!</v>
      </c>
      <c r="AJ777" t="e">
        <v>#VALUE!</v>
      </c>
      <c r="AK777" t="e">
        <v>#VALUE!</v>
      </c>
      <c r="AL777" t="s">
        <v>105</v>
      </c>
      <c r="AM777" t="e">
        <v>#VALUE!</v>
      </c>
    </row>
    <row r="778" spans="32:39" hidden="1">
      <c r="AF778" t="e">
        <v>#VALUE!</v>
      </c>
      <c r="AG778" t="e">
        <v>#VALUE!</v>
      </c>
      <c r="AH778" t="e">
        <v>#VALUE!</v>
      </c>
      <c r="AI778" t="e">
        <v>#VALUE!</v>
      </c>
      <c r="AJ778" t="e">
        <v>#VALUE!</v>
      </c>
      <c r="AK778" t="e">
        <v>#VALUE!</v>
      </c>
      <c r="AL778" t="s">
        <v>105</v>
      </c>
      <c r="AM778" t="e">
        <v>#VALUE!</v>
      </c>
    </row>
    <row r="779" spans="32:39" hidden="1">
      <c r="AF779" t="e">
        <v>#VALUE!</v>
      </c>
      <c r="AG779" t="e">
        <v>#VALUE!</v>
      </c>
      <c r="AH779" t="e">
        <v>#VALUE!</v>
      </c>
      <c r="AI779" t="e">
        <v>#VALUE!</v>
      </c>
      <c r="AJ779" t="e">
        <v>#VALUE!</v>
      </c>
      <c r="AK779" t="e">
        <v>#VALUE!</v>
      </c>
      <c r="AL779" t="s">
        <v>105</v>
      </c>
      <c r="AM779" t="e">
        <v>#VALUE!</v>
      </c>
    </row>
    <row r="780" spans="32:39" hidden="1">
      <c r="AF780" t="e">
        <v>#VALUE!</v>
      </c>
      <c r="AG780" t="e">
        <v>#VALUE!</v>
      </c>
      <c r="AH780" t="e">
        <v>#VALUE!</v>
      </c>
      <c r="AI780" t="e">
        <v>#VALUE!</v>
      </c>
      <c r="AJ780" t="e">
        <v>#VALUE!</v>
      </c>
      <c r="AK780" t="e">
        <v>#VALUE!</v>
      </c>
      <c r="AL780" t="s">
        <v>105</v>
      </c>
      <c r="AM780" t="e">
        <v>#VALUE!</v>
      </c>
    </row>
    <row r="781" spans="32:39" hidden="1">
      <c r="AF781" t="e">
        <v>#VALUE!</v>
      </c>
      <c r="AG781" t="e">
        <v>#VALUE!</v>
      </c>
      <c r="AH781" t="e">
        <v>#VALUE!</v>
      </c>
      <c r="AI781" t="e">
        <v>#VALUE!</v>
      </c>
      <c r="AJ781" t="e">
        <v>#VALUE!</v>
      </c>
      <c r="AK781" t="e">
        <v>#VALUE!</v>
      </c>
      <c r="AL781" t="s">
        <v>105</v>
      </c>
      <c r="AM781" t="e">
        <v>#VALUE!</v>
      </c>
    </row>
    <row r="782" spans="32:39" hidden="1">
      <c r="AF782" t="e">
        <v>#VALUE!</v>
      </c>
      <c r="AG782" t="e">
        <v>#VALUE!</v>
      </c>
      <c r="AH782" t="e">
        <v>#VALUE!</v>
      </c>
      <c r="AI782" t="e">
        <v>#VALUE!</v>
      </c>
      <c r="AJ782" t="e">
        <v>#VALUE!</v>
      </c>
      <c r="AK782" t="e">
        <v>#VALUE!</v>
      </c>
      <c r="AL782" t="s">
        <v>105</v>
      </c>
      <c r="AM782" t="e">
        <v>#VALUE!</v>
      </c>
    </row>
    <row r="783" spans="32:39" hidden="1">
      <c r="AF783" t="e">
        <v>#VALUE!</v>
      </c>
      <c r="AG783" t="e">
        <v>#VALUE!</v>
      </c>
      <c r="AH783" t="e">
        <v>#VALUE!</v>
      </c>
      <c r="AI783" t="e">
        <v>#VALUE!</v>
      </c>
      <c r="AJ783" t="e">
        <v>#VALUE!</v>
      </c>
      <c r="AK783" t="e">
        <v>#VALUE!</v>
      </c>
      <c r="AL783" t="s">
        <v>105</v>
      </c>
      <c r="AM783" t="e">
        <v>#VALUE!</v>
      </c>
    </row>
    <row r="784" spans="32:39" hidden="1">
      <c r="AF784" t="e">
        <v>#VALUE!</v>
      </c>
      <c r="AG784" t="e">
        <v>#VALUE!</v>
      </c>
      <c r="AH784" t="e">
        <v>#VALUE!</v>
      </c>
      <c r="AI784" t="e">
        <v>#VALUE!</v>
      </c>
      <c r="AJ784" t="e">
        <v>#VALUE!</v>
      </c>
      <c r="AK784" t="e">
        <v>#VALUE!</v>
      </c>
      <c r="AL784" t="s">
        <v>105</v>
      </c>
      <c r="AM784" t="e">
        <v>#VALUE!</v>
      </c>
    </row>
    <row r="785" spans="32:39" hidden="1">
      <c r="AF785" t="e">
        <v>#VALUE!</v>
      </c>
      <c r="AG785" t="e">
        <v>#VALUE!</v>
      </c>
      <c r="AH785" t="e">
        <v>#VALUE!</v>
      </c>
      <c r="AI785" t="e">
        <v>#VALUE!</v>
      </c>
      <c r="AJ785" t="e">
        <v>#VALUE!</v>
      </c>
      <c r="AK785" t="e">
        <v>#VALUE!</v>
      </c>
      <c r="AL785" t="s">
        <v>105</v>
      </c>
      <c r="AM785" t="e">
        <v>#VALUE!</v>
      </c>
    </row>
    <row r="786" spans="32:39" hidden="1">
      <c r="AF786" t="e">
        <v>#VALUE!</v>
      </c>
      <c r="AG786" t="e">
        <v>#VALUE!</v>
      </c>
      <c r="AH786" t="e">
        <v>#VALUE!</v>
      </c>
      <c r="AI786" t="e">
        <v>#VALUE!</v>
      </c>
      <c r="AJ786" t="e">
        <v>#VALUE!</v>
      </c>
      <c r="AK786" t="e">
        <v>#VALUE!</v>
      </c>
      <c r="AL786" t="s">
        <v>105</v>
      </c>
      <c r="AM786" t="e">
        <v>#VALUE!</v>
      </c>
    </row>
    <row r="787" spans="32:39" hidden="1">
      <c r="AF787" t="e">
        <v>#VALUE!</v>
      </c>
      <c r="AG787" t="e">
        <v>#VALUE!</v>
      </c>
      <c r="AH787" t="e">
        <v>#VALUE!</v>
      </c>
      <c r="AI787" t="e">
        <v>#VALUE!</v>
      </c>
      <c r="AJ787" t="e">
        <v>#VALUE!</v>
      </c>
      <c r="AK787" t="e">
        <v>#VALUE!</v>
      </c>
      <c r="AL787" t="s">
        <v>105</v>
      </c>
      <c r="AM787" t="e">
        <v>#VALUE!</v>
      </c>
    </row>
    <row r="788" spans="32:39" hidden="1">
      <c r="AF788" t="e">
        <v>#VALUE!</v>
      </c>
      <c r="AG788" t="e">
        <v>#VALUE!</v>
      </c>
      <c r="AH788" t="e">
        <v>#VALUE!</v>
      </c>
      <c r="AI788" t="e">
        <v>#VALUE!</v>
      </c>
      <c r="AJ788" t="e">
        <v>#VALUE!</v>
      </c>
      <c r="AK788" t="e">
        <v>#VALUE!</v>
      </c>
      <c r="AL788" t="s">
        <v>105</v>
      </c>
      <c r="AM788" t="e">
        <v>#VALUE!</v>
      </c>
    </row>
    <row r="789" spans="32:39" hidden="1">
      <c r="AF789" t="e">
        <v>#VALUE!</v>
      </c>
      <c r="AG789" t="e">
        <v>#VALUE!</v>
      </c>
      <c r="AH789" t="e">
        <v>#VALUE!</v>
      </c>
      <c r="AI789" t="e">
        <v>#VALUE!</v>
      </c>
      <c r="AJ789" t="e">
        <v>#VALUE!</v>
      </c>
      <c r="AK789" t="e">
        <v>#VALUE!</v>
      </c>
      <c r="AL789" t="s">
        <v>105</v>
      </c>
      <c r="AM789" t="e">
        <v>#VALUE!</v>
      </c>
    </row>
    <row r="790" spans="32:39" hidden="1">
      <c r="AF790" t="e">
        <v>#VALUE!</v>
      </c>
      <c r="AG790" t="e">
        <v>#VALUE!</v>
      </c>
      <c r="AH790" t="e">
        <v>#VALUE!</v>
      </c>
      <c r="AI790" t="e">
        <v>#VALUE!</v>
      </c>
      <c r="AJ790" t="e">
        <v>#VALUE!</v>
      </c>
      <c r="AK790" t="e">
        <v>#VALUE!</v>
      </c>
      <c r="AL790" t="s">
        <v>105</v>
      </c>
      <c r="AM790" t="e">
        <v>#VALUE!</v>
      </c>
    </row>
    <row r="791" spans="32:39" hidden="1">
      <c r="AF791" t="e">
        <v>#VALUE!</v>
      </c>
      <c r="AG791" t="e">
        <v>#VALUE!</v>
      </c>
      <c r="AH791" t="e">
        <v>#VALUE!</v>
      </c>
      <c r="AI791" t="e">
        <v>#VALUE!</v>
      </c>
      <c r="AJ791" t="e">
        <v>#VALUE!</v>
      </c>
      <c r="AK791" t="e">
        <v>#VALUE!</v>
      </c>
      <c r="AL791" t="s">
        <v>105</v>
      </c>
      <c r="AM791" t="e">
        <v>#VALUE!</v>
      </c>
    </row>
    <row r="792" spans="32:39" hidden="1">
      <c r="AF792" t="e">
        <v>#VALUE!</v>
      </c>
      <c r="AG792" t="e">
        <v>#VALUE!</v>
      </c>
      <c r="AH792" t="e">
        <v>#VALUE!</v>
      </c>
      <c r="AI792" t="e">
        <v>#VALUE!</v>
      </c>
      <c r="AJ792" t="e">
        <v>#VALUE!</v>
      </c>
      <c r="AK792" t="e">
        <v>#VALUE!</v>
      </c>
      <c r="AL792" t="s">
        <v>105</v>
      </c>
      <c r="AM792" t="e">
        <v>#VALUE!</v>
      </c>
    </row>
    <row r="793" spans="32:39" hidden="1">
      <c r="AF793" t="e">
        <v>#VALUE!</v>
      </c>
      <c r="AG793" t="e">
        <v>#VALUE!</v>
      </c>
      <c r="AH793" t="e">
        <v>#VALUE!</v>
      </c>
      <c r="AI793" t="e">
        <v>#VALUE!</v>
      </c>
      <c r="AJ793" t="e">
        <v>#VALUE!</v>
      </c>
      <c r="AK793" t="e">
        <v>#VALUE!</v>
      </c>
      <c r="AL793" t="s">
        <v>105</v>
      </c>
      <c r="AM793" t="e">
        <v>#VALUE!</v>
      </c>
    </row>
    <row r="794" spans="32:39" hidden="1">
      <c r="AF794" t="e">
        <v>#VALUE!</v>
      </c>
      <c r="AG794" t="e">
        <v>#VALUE!</v>
      </c>
      <c r="AH794" t="e">
        <v>#VALUE!</v>
      </c>
      <c r="AI794" t="e">
        <v>#VALUE!</v>
      </c>
      <c r="AJ794" t="e">
        <v>#VALUE!</v>
      </c>
      <c r="AK794" t="e">
        <v>#VALUE!</v>
      </c>
      <c r="AL794" t="s">
        <v>105</v>
      </c>
      <c r="AM794" t="e">
        <v>#VALUE!</v>
      </c>
    </row>
    <row r="795" spans="32:39" hidden="1">
      <c r="AF795" t="e">
        <v>#VALUE!</v>
      </c>
      <c r="AG795" t="e">
        <v>#VALUE!</v>
      </c>
      <c r="AH795" t="e">
        <v>#VALUE!</v>
      </c>
      <c r="AI795" t="e">
        <v>#VALUE!</v>
      </c>
      <c r="AJ795" t="e">
        <v>#VALUE!</v>
      </c>
      <c r="AK795" t="e">
        <v>#VALUE!</v>
      </c>
      <c r="AL795" t="s">
        <v>105</v>
      </c>
      <c r="AM795" t="e">
        <v>#VALUE!</v>
      </c>
    </row>
    <row r="796" spans="32:39" hidden="1">
      <c r="AF796" t="e">
        <v>#VALUE!</v>
      </c>
      <c r="AG796" t="e">
        <v>#VALUE!</v>
      </c>
      <c r="AH796" t="e">
        <v>#VALUE!</v>
      </c>
      <c r="AI796" t="e">
        <v>#VALUE!</v>
      </c>
      <c r="AJ796" t="e">
        <v>#VALUE!</v>
      </c>
      <c r="AK796" t="e">
        <v>#VALUE!</v>
      </c>
      <c r="AL796" t="s">
        <v>105</v>
      </c>
      <c r="AM796" t="e">
        <v>#VALUE!</v>
      </c>
    </row>
    <row r="797" spans="32:39" hidden="1">
      <c r="AF797" t="e">
        <v>#VALUE!</v>
      </c>
      <c r="AG797" t="e">
        <v>#VALUE!</v>
      </c>
      <c r="AH797" t="e">
        <v>#VALUE!</v>
      </c>
      <c r="AI797" t="e">
        <v>#VALUE!</v>
      </c>
      <c r="AJ797" t="e">
        <v>#VALUE!</v>
      </c>
      <c r="AK797" t="e">
        <v>#VALUE!</v>
      </c>
      <c r="AL797" t="s">
        <v>105</v>
      </c>
      <c r="AM797" t="e">
        <v>#VALUE!</v>
      </c>
    </row>
    <row r="798" spans="32:39" hidden="1">
      <c r="AF798" t="e">
        <v>#VALUE!</v>
      </c>
      <c r="AG798" t="e">
        <v>#VALUE!</v>
      </c>
      <c r="AH798" t="e">
        <v>#VALUE!</v>
      </c>
      <c r="AI798" t="e">
        <v>#VALUE!</v>
      </c>
      <c r="AJ798" t="e">
        <v>#VALUE!</v>
      </c>
      <c r="AK798" t="e">
        <v>#VALUE!</v>
      </c>
      <c r="AL798" t="s">
        <v>105</v>
      </c>
      <c r="AM798" t="e">
        <v>#VALUE!</v>
      </c>
    </row>
    <row r="799" spans="32:39" hidden="1">
      <c r="AF799" t="e">
        <v>#VALUE!</v>
      </c>
      <c r="AG799" t="e">
        <v>#VALUE!</v>
      </c>
      <c r="AH799" t="e">
        <v>#VALUE!</v>
      </c>
      <c r="AI799" t="e">
        <v>#VALUE!</v>
      </c>
      <c r="AJ799" t="e">
        <v>#VALUE!</v>
      </c>
      <c r="AK799" t="e">
        <v>#VALUE!</v>
      </c>
      <c r="AL799" t="s">
        <v>105</v>
      </c>
      <c r="AM799" t="e">
        <v>#VALUE!</v>
      </c>
    </row>
    <row r="800" spans="32:39" hidden="1">
      <c r="AF800" t="e">
        <v>#VALUE!</v>
      </c>
      <c r="AG800" t="e">
        <v>#VALUE!</v>
      </c>
      <c r="AH800" t="e">
        <v>#VALUE!</v>
      </c>
      <c r="AI800" t="e">
        <v>#VALUE!</v>
      </c>
      <c r="AJ800" t="e">
        <v>#VALUE!</v>
      </c>
      <c r="AK800" t="e">
        <v>#VALUE!</v>
      </c>
      <c r="AL800" t="s">
        <v>105</v>
      </c>
      <c r="AM800" t="e">
        <v>#VALUE!</v>
      </c>
    </row>
    <row r="801" spans="32:39" hidden="1">
      <c r="AF801" t="e">
        <v>#VALUE!</v>
      </c>
      <c r="AG801" t="e">
        <v>#VALUE!</v>
      </c>
      <c r="AH801" t="e">
        <v>#VALUE!</v>
      </c>
      <c r="AI801" t="e">
        <v>#VALUE!</v>
      </c>
      <c r="AJ801" t="e">
        <v>#VALUE!</v>
      </c>
      <c r="AK801" t="e">
        <v>#VALUE!</v>
      </c>
      <c r="AL801" t="s">
        <v>105</v>
      </c>
      <c r="AM801" t="e">
        <v>#VALUE!</v>
      </c>
    </row>
    <row r="802" spans="32:39" hidden="1">
      <c r="AF802" t="e">
        <v>#VALUE!</v>
      </c>
      <c r="AG802" t="e">
        <v>#VALUE!</v>
      </c>
      <c r="AH802" t="e">
        <v>#VALUE!</v>
      </c>
      <c r="AI802" t="e">
        <v>#VALUE!</v>
      </c>
      <c r="AJ802" t="e">
        <v>#VALUE!</v>
      </c>
      <c r="AK802" t="e">
        <v>#VALUE!</v>
      </c>
      <c r="AL802" t="s">
        <v>105</v>
      </c>
      <c r="AM802" t="e">
        <v>#VALUE!</v>
      </c>
    </row>
    <row r="803" spans="32:39" hidden="1">
      <c r="AF803" t="e">
        <v>#VALUE!</v>
      </c>
      <c r="AG803" t="e">
        <v>#VALUE!</v>
      </c>
      <c r="AH803" t="e">
        <v>#VALUE!</v>
      </c>
      <c r="AI803" t="e">
        <v>#VALUE!</v>
      </c>
      <c r="AJ803" t="e">
        <v>#VALUE!</v>
      </c>
      <c r="AK803" t="e">
        <v>#VALUE!</v>
      </c>
      <c r="AL803" t="s">
        <v>105</v>
      </c>
      <c r="AM803" t="e">
        <v>#VALUE!</v>
      </c>
    </row>
    <row r="804" spans="32:39" hidden="1">
      <c r="AF804" t="e">
        <v>#VALUE!</v>
      </c>
      <c r="AG804" t="e">
        <v>#VALUE!</v>
      </c>
      <c r="AH804" t="e">
        <v>#VALUE!</v>
      </c>
      <c r="AI804" t="e">
        <v>#VALUE!</v>
      </c>
      <c r="AJ804" t="e">
        <v>#VALUE!</v>
      </c>
      <c r="AK804" t="e">
        <v>#VALUE!</v>
      </c>
      <c r="AL804" t="s">
        <v>105</v>
      </c>
      <c r="AM804" t="e">
        <v>#VALUE!</v>
      </c>
    </row>
    <row r="805" spans="32:39" hidden="1">
      <c r="AF805" t="e">
        <v>#VALUE!</v>
      </c>
      <c r="AG805" t="e">
        <v>#VALUE!</v>
      </c>
      <c r="AH805" t="e">
        <v>#VALUE!</v>
      </c>
      <c r="AI805" t="e">
        <v>#VALUE!</v>
      </c>
      <c r="AJ805" t="e">
        <v>#VALUE!</v>
      </c>
      <c r="AK805" t="e">
        <v>#VALUE!</v>
      </c>
      <c r="AL805" t="s">
        <v>105</v>
      </c>
      <c r="AM805" t="e">
        <v>#VALUE!</v>
      </c>
    </row>
    <row r="806" spans="32:39" hidden="1">
      <c r="AF806" t="e">
        <v>#VALUE!</v>
      </c>
      <c r="AG806" t="e">
        <v>#VALUE!</v>
      </c>
      <c r="AH806" t="e">
        <v>#VALUE!</v>
      </c>
      <c r="AI806" t="e">
        <v>#VALUE!</v>
      </c>
      <c r="AJ806" t="e">
        <v>#VALUE!</v>
      </c>
      <c r="AK806" t="e">
        <v>#VALUE!</v>
      </c>
      <c r="AL806" t="s">
        <v>105</v>
      </c>
      <c r="AM806" t="e">
        <v>#VALUE!</v>
      </c>
    </row>
    <row r="807" spans="32:39" hidden="1">
      <c r="AF807" t="e">
        <v>#VALUE!</v>
      </c>
      <c r="AG807" t="e">
        <v>#VALUE!</v>
      </c>
      <c r="AH807" t="e">
        <v>#VALUE!</v>
      </c>
      <c r="AI807" t="e">
        <v>#VALUE!</v>
      </c>
      <c r="AJ807" t="e">
        <v>#VALUE!</v>
      </c>
      <c r="AK807" t="e">
        <v>#VALUE!</v>
      </c>
      <c r="AL807" t="s">
        <v>105</v>
      </c>
      <c r="AM807" t="e">
        <v>#VALUE!</v>
      </c>
    </row>
    <row r="808" spans="32:39" hidden="1">
      <c r="AF808" t="e">
        <v>#VALUE!</v>
      </c>
      <c r="AG808" t="e">
        <v>#VALUE!</v>
      </c>
      <c r="AH808" t="e">
        <v>#VALUE!</v>
      </c>
      <c r="AI808" t="e">
        <v>#VALUE!</v>
      </c>
      <c r="AJ808" t="e">
        <v>#VALUE!</v>
      </c>
      <c r="AK808" t="e">
        <v>#VALUE!</v>
      </c>
      <c r="AL808" t="s">
        <v>105</v>
      </c>
      <c r="AM808" t="e">
        <v>#VALUE!</v>
      </c>
    </row>
    <row r="809" spans="32:39" hidden="1">
      <c r="AF809" t="e">
        <v>#VALUE!</v>
      </c>
      <c r="AG809" t="e">
        <v>#VALUE!</v>
      </c>
      <c r="AH809" t="e">
        <v>#VALUE!</v>
      </c>
      <c r="AI809" t="e">
        <v>#VALUE!</v>
      </c>
      <c r="AJ809" t="e">
        <v>#VALUE!</v>
      </c>
      <c r="AK809" t="e">
        <v>#VALUE!</v>
      </c>
      <c r="AL809" t="s">
        <v>105</v>
      </c>
      <c r="AM809" t="e">
        <v>#VALUE!</v>
      </c>
    </row>
    <row r="810" spans="32:39" hidden="1">
      <c r="AF810" t="e">
        <v>#VALUE!</v>
      </c>
      <c r="AG810" t="e">
        <v>#VALUE!</v>
      </c>
      <c r="AH810" t="e">
        <v>#VALUE!</v>
      </c>
      <c r="AI810" t="e">
        <v>#VALUE!</v>
      </c>
      <c r="AJ810" t="e">
        <v>#VALUE!</v>
      </c>
      <c r="AK810" t="e">
        <v>#VALUE!</v>
      </c>
      <c r="AL810" t="s">
        <v>105</v>
      </c>
      <c r="AM810" t="e">
        <v>#VALUE!</v>
      </c>
    </row>
    <row r="811" spans="32:39" hidden="1">
      <c r="AF811" t="e">
        <v>#VALUE!</v>
      </c>
      <c r="AG811" t="e">
        <v>#VALUE!</v>
      </c>
      <c r="AH811" t="e">
        <v>#VALUE!</v>
      </c>
      <c r="AI811" t="e">
        <v>#VALUE!</v>
      </c>
      <c r="AJ811" t="e">
        <v>#VALUE!</v>
      </c>
      <c r="AK811" t="e">
        <v>#VALUE!</v>
      </c>
      <c r="AL811" t="s">
        <v>105</v>
      </c>
      <c r="AM811" t="e">
        <v>#VALUE!</v>
      </c>
    </row>
    <row r="812" spans="32:39" hidden="1">
      <c r="AF812" t="e">
        <v>#VALUE!</v>
      </c>
      <c r="AG812" t="e">
        <v>#VALUE!</v>
      </c>
      <c r="AH812" t="e">
        <v>#VALUE!</v>
      </c>
      <c r="AI812" t="e">
        <v>#VALUE!</v>
      </c>
      <c r="AJ812" t="e">
        <v>#VALUE!</v>
      </c>
      <c r="AK812" t="e">
        <v>#VALUE!</v>
      </c>
      <c r="AL812" t="s">
        <v>105</v>
      </c>
      <c r="AM812" t="e">
        <v>#VALUE!</v>
      </c>
    </row>
    <row r="813" spans="32:39" hidden="1">
      <c r="AF813" t="e">
        <v>#VALUE!</v>
      </c>
      <c r="AG813" t="e">
        <v>#VALUE!</v>
      </c>
      <c r="AH813" t="e">
        <v>#VALUE!</v>
      </c>
      <c r="AI813" t="e">
        <v>#VALUE!</v>
      </c>
      <c r="AJ813" t="e">
        <v>#VALUE!</v>
      </c>
      <c r="AK813" t="e">
        <v>#VALUE!</v>
      </c>
      <c r="AL813" t="s">
        <v>105</v>
      </c>
      <c r="AM813" t="e">
        <v>#VALUE!</v>
      </c>
    </row>
    <row r="814" spans="32:39" hidden="1">
      <c r="AF814" t="e">
        <v>#VALUE!</v>
      </c>
      <c r="AG814" t="e">
        <v>#VALUE!</v>
      </c>
      <c r="AH814" t="e">
        <v>#VALUE!</v>
      </c>
      <c r="AI814" t="e">
        <v>#VALUE!</v>
      </c>
      <c r="AJ814" t="e">
        <v>#VALUE!</v>
      </c>
      <c r="AK814" t="e">
        <v>#VALUE!</v>
      </c>
      <c r="AL814" t="s">
        <v>105</v>
      </c>
      <c r="AM814" t="e">
        <v>#VALUE!</v>
      </c>
    </row>
    <row r="815" spans="32:39" hidden="1">
      <c r="AF815" t="e">
        <v>#VALUE!</v>
      </c>
      <c r="AG815" t="e">
        <v>#VALUE!</v>
      </c>
      <c r="AH815" t="e">
        <v>#VALUE!</v>
      </c>
      <c r="AI815" t="e">
        <v>#VALUE!</v>
      </c>
      <c r="AJ815" t="e">
        <v>#VALUE!</v>
      </c>
      <c r="AK815" t="e">
        <v>#VALUE!</v>
      </c>
      <c r="AL815" t="s">
        <v>105</v>
      </c>
      <c r="AM815" t="e">
        <v>#VALUE!</v>
      </c>
    </row>
    <row r="816" spans="32:39" hidden="1">
      <c r="AF816" t="e">
        <v>#VALUE!</v>
      </c>
      <c r="AG816" t="e">
        <v>#VALUE!</v>
      </c>
      <c r="AH816" t="e">
        <v>#VALUE!</v>
      </c>
      <c r="AI816" t="e">
        <v>#VALUE!</v>
      </c>
      <c r="AJ816" t="e">
        <v>#VALUE!</v>
      </c>
      <c r="AK816" t="e">
        <v>#VALUE!</v>
      </c>
      <c r="AL816" t="s">
        <v>105</v>
      </c>
      <c r="AM816" t="e">
        <v>#VALUE!</v>
      </c>
    </row>
    <row r="817" spans="32:39" hidden="1">
      <c r="AF817" t="e">
        <v>#VALUE!</v>
      </c>
      <c r="AG817" t="e">
        <v>#VALUE!</v>
      </c>
      <c r="AH817" t="e">
        <v>#VALUE!</v>
      </c>
      <c r="AI817" t="e">
        <v>#VALUE!</v>
      </c>
      <c r="AJ817" t="e">
        <v>#VALUE!</v>
      </c>
      <c r="AK817" t="e">
        <v>#VALUE!</v>
      </c>
      <c r="AL817" t="s">
        <v>105</v>
      </c>
      <c r="AM817" t="e">
        <v>#VALUE!</v>
      </c>
    </row>
    <row r="818" spans="32:39" hidden="1">
      <c r="AF818" t="e">
        <v>#VALUE!</v>
      </c>
      <c r="AG818" t="e">
        <v>#VALUE!</v>
      </c>
      <c r="AH818" t="e">
        <v>#VALUE!</v>
      </c>
      <c r="AI818" t="e">
        <v>#VALUE!</v>
      </c>
      <c r="AJ818" t="e">
        <v>#VALUE!</v>
      </c>
      <c r="AK818" t="e">
        <v>#VALUE!</v>
      </c>
      <c r="AL818" t="s">
        <v>105</v>
      </c>
      <c r="AM818" t="e">
        <v>#VALUE!</v>
      </c>
    </row>
    <row r="819" spans="32:39" hidden="1">
      <c r="AF819" t="e">
        <v>#VALUE!</v>
      </c>
      <c r="AG819" t="e">
        <v>#VALUE!</v>
      </c>
      <c r="AH819" t="e">
        <v>#VALUE!</v>
      </c>
      <c r="AI819" t="e">
        <v>#VALUE!</v>
      </c>
      <c r="AJ819" t="e">
        <v>#VALUE!</v>
      </c>
      <c r="AK819" t="e">
        <v>#VALUE!</v>
      </c>
      <c r="AL819" t="s">
        <v>105</v>
      </c>
      <c r="AM819" t="e">
        <v>#VALUE!</v>
      </c>
    </row>
    <row r="820" spans="32:39" hidden="1">
      <c r="AF820" t="e">
        <v>#VALUE!</v>
      </c>
      <c r="AG820" t="e">
        <v>#VALUE!</v>
      </c>
      <c r="AH820" t="e">
        <v>#VALUE!</v>
      </c>
      <c r="AI820" t="e">
        <v>#VALUE!</v>
      </c>
      <c r="AJ820" t="e">
        <v>#VALUE!</v>
      </c>
      <c r="AK820" t="e">
        <v>#VALUE!</v>
      </c>
      <c r="AL820" t="s">
        <v>105</v>
      </c>
      <c r="AM820" t="e">
        <v>#VALUE!</v>
      </c>
    </row>
    <row r="821" spans="32:39" hidden="1">
      <c r="AF821" t="e">
        <v>#VALUE!</v>
      </c>
      <c r="AG821" t="e">
        <v>#VALUE!</v>
      </c>
      <c r="AH821" t="e">
        <v>#VALUE!</v>
      </c>
      <c r="AI821" t="e">
        <v>#VALUE!</v>
      </c>
      <c r="AJ821" t="e">
        <v>#VALUE!</v>
      </c>
      <c r="AK821" t="e">
        <v>#VALUE!</v>
      </c>
      <c r="AL821" t="s">
        <v>105</v>
      </c>
      <c r="AM821" t="e">
        <v>#VALUE!</v>
      </c>
    </row>
    <row r="822" spans="32:39" hidden="1">
      <c r="AF822" t="e">
        <v>#VALUE!</v>
      </c>
      <c r="AG822" t="e">
        <v>#VALUE!</v>
      </c>
      <c r="AH822" t="e">
        <v>#VALUE!</v>
      </c>
      <c r="AI822" t="e">
        <v>#VALUE!</v>
      </c>
      <c r="AJ822" t="e">
        <v>#VALUE!</v>
      </c>
      <c r="AK822" t="e">
        <v>#VALUE!</v>
      </c>
      <c r="AL822" t="s">
        <v>105</v>
      </c>
      <c r="AM822" t="e">
        <v>#VALUE!</v>
      </c>
    </row>
    <row r="823" spans="32:39" hidden="1">
      <c r="AF823" t="e">
        <v>#VALUE!</v>
      </c>
      <c r="AG823" t="e">
        <v>#VALUE!</v>
      </c>
      <c r="AH823" t="e">
        <v>#VALUE!</v>
      </c>
      <c r="AI823" t="e">
        <v>#VALUE!</v>
      </c>
      <c r="AJ823" t="e">
        <v>#VALUE!</v>
      </c>
      <c r="AK823" t="e">
        <v>#VALUE!</v>
      </c>
      <c r="AL823" t="s">
        <v>105</v>
      </c>
      <c r="AM823" t="e">
        <v>#VALUE!</v>
      </c>
    </row>
    <row r="824" spans="32:39" hidden="1">
      <c r="AF824" t="e">
        <v>#VALUE!</v>
      </c>
      <c r="AG824" t="e">
        <v>#VALUE!</v>
      </c>
      <c r="AH824" t="e">
        <v>#VALUE!</v>
      </c>
      <c r="AI824" t="e">
        <v>#VALUE!</v>
      </c>
      <c r="AJ824" t="e">
        <v>#VALUE!</v>
      </c>
      <c r="AK824" t="e">
        <v>#VALUE!</v>
      </c>
      <c r="AL824" t="s">
        <v>105</v>
      </c>
      <c r="AM824" t="e">
        <v>#VALUE!</v>
      </c>
    </row>
    <row r="825" spans="32:39" hidden="1">
      <c r="AF825" t="e">
        <v>#VALUE!</v>
      </c>
      <c r="AG825" t="e">
        <v>#VALUE!</v>
      </c>
      <c r="AH825" t="e">
        <v>#VALUE!</v>
      </c>
      <c r="AI825" t="e">
        <v>#VALUE!</v>
      </c>
      <c r="AJ825" t="e">
        <v>#VALUE!</v>
      </c>
      <c r="AK825" t="e">
        <v>#VALUE!</v>
      </c>
      <c r="AL825" t="s">
        <v>105</v>
      </c>
      <c r="AM825" t="e">
        <v>#VALUE!</v>
      </c>
    </row>
    <row r="826" spans="32:39" hidden="1">
      <c r="AF826" t="e">
        <v>#VALUE!</v>
      </c>
      <c r="AG826" t="e">
        <v>#VALUE!</v>
      </c>
      <c r="AH826" t="e">
        <v>#VALUE!</v>
      </c>
      <c r="AI826" t="e">
        <v>#VALUE!</v>
      </c>
      <c r="AJ826" t="e">
        <v>#VALUE!</v>
      </c>
      <c r="AK826" t="e">
        <v>#VALUE!</v>
      </c>
      <c r="AL826" t="s">
        <v>105</v>
      </c>
      <c r="AM826" t="e">
        <v>#VALUE!</v>
      </c>
    </row>
    <row r="827" spans="32:39" hidden="1">
      <c r="AF827" t="e">
        <v>#VALUE!</v>
      </c>
      <c r="AG827" t="e">
        <v>#VALUE!</v>
      </c>
      <c r="AH827" t="e">
        <v>#VALUE!</v>
      </c>
      <c r="AI827" t="e">
        <v>#VALUE!</v>
      </c>
      <c r="AJ827" t="e">
        <v>#VALUE!</v>
      </c>
      <c r="AK827" t="e">
        <v>#VALUE!</v>
      </c>
      <c r="AL827" t="s">
        <v>105</v>
      </c>
      <c r="AM827" t="e">
        <v>#VALUE!</v>
      </c>
    </row>
    <row r="828" spans="32:39" hidden="1">
      <c r="AF828" t="e">
        <v>#VALUE!</v>
      </c>
      <c r="AG828" t="e">
        <v>#VALUE!</v>
      </c>
      <c r="AH828" t="e">
        <v>#VALUE!</v>
      </c>
      <c r="AI828" t="e">
        <v>#VALUE!</v>
      </c>
      <c r="AJ828" t="e">
        <v>#VALUE!</v>
      </c>
      <c r="AK828" t="e">
        <v>#VALUE!</v>
      </c>
      <c r="AL828" t="s">
        <v>105</v>
      </c>
      <c r="AM828" t="e">
        <v>#VALUE!</v>
      </c>
    </row>
    <row r="829" spans="32:39" hidden="1">
      <c r="AF829" t="e">
        <v>#VALUE!</v>
      </c>
      <c r="AG829" t="e">
        <v>#VALUE!</v>
      </c>
      <c r="AH829" t="e">
        <v>#VALUE!</v>
      </c>
      <c r="AI829" t="e">
        <v>#VALUE!</v>
      </c>
      <c r="AJ829" t="e">
        <v>#VALUE!</v>
      </c>
      <c r="AK829" t="e">
        <v>#VALUE!</v>
      </c>
      <c r="AL829" t="s">
        <v>105</v>
      </c>
      <c r="AM829" t="e">
        <v>#VALUE!</v>
      </c>
    </row>
    <row r="830" spans="32:39" hidden="1">
      <c r="AF830" t="e">
        <v>#VALUE!</v>
      </c>
      <c r="AG830" t="e">
        <v>#VALUE!</v>
      </c>
      <c r="AH830" t="e">
        <v>#VALUE!</v>
      </c>
      <c r="AI830" t="e">
        <v>#VALUE!</v>
      </c>
      <c r="AJ830" t="e">
        <v>#VALUE!</v>
      </c>
      <c r="AK830" t="e">
        <v>#VALUE!</v>
      </c>
      <c r="AL830" t="s">
        <v>105</v>
      </c>
      <c r="AM830" t="e">
        <v>#VALUE!</v>
      </c>
    </row>
    <row r="831" spans="32:39" hidden="1">
      <c r="AF831" t="e">
        <v>#VALUE!</v>
      </c>
      <c r="AG831" t="e">
        <v>#VALUE!</v>
      </c>
      <c r="AH831" t="e">
        <v>#VALUE!</v>
      </c>
      <c r="AI831" t="e">
        <v>#VALUE!</v>
      </c>
      <c r="AJ831" t="e">
        <v>#VALUE!</v>
      </c>
      <c r="AK831" t="e">
        <v>#VALUE!</v>
      </c>
      <c r="AL831" t="s">
        <v>105</v>
      </c>
      <c r="AM831" t="e">
        <v>#VALUE!</v>
      </c>
    </row>
    <row r="832" spans="32:39" hidden="1">
      <c r="AF832" t="e">
        <v>#VALUE!</v>
      </c>
      <c r="AG832" t="e">
        <v>#VALUE!</v>
      </c>
      <c r="AH832" t="e">
        <v>#VALUE!</v>
      </c>
      <c r="AI832" t="e">
        <v>#VALUE!</v>
      </c>
      <c r="AJ832" t="e">
        <v>#VALUE!</v>
      </c>
      <c r="AK832" t="e">
        <v>#VALUE!</v>
      </c>
      <c r="AL832" t="s">
        <v>105</v>
      </c>
      <c r="AM832" t="e">
        <v>#VALUE!</v>
      </c>
    </row>
    <row r="833" spans="32:39" hidden="1">
      <c r="AF833" t="e">
        <v>#VALUE!</v>
      </c>
      <c r="AG833" t="e">
        <v>#VALUE!</v>
      </c>
      <c r="AH833" t="e">
        <v>#VALUE!</v>
      </c>
      <c r="AI833" t="e">
        <v>#VALUE!</v>
      </c>
      <c r="AJ833" t="e">
        <v>#VALUE!</v>
      </c>
      <c r="AK833" t="e">
        <v>#VALUE!</v>
      </c>
      <c r="AL833" t="s">
        <v>105</v>
      </c>
      <c r="AM833" t="e">
        <v>#VALUE!</v>
      </c>
    </row>
    <row r="834" spans="32:39" hidden="1">
      <c r="AF834" t="e">
        <v>#VALUE!</v>
      </c>
      <c r="AG834" t="e">
        <v>#VALUE!</v>
      </c>
      <c r="AH834" t="e">
        <v>#VALUE!</v>
      </c>
      <c r="AI834" t="e">
        <v>#VALUE!</v>
      </c>
      <c r="AJ834" t="e">
        <v>#VALUE!</v>
      </c>
      <c r="AK834" t="e">
        <v>#VALUE!</v>
      </c>
      <c r="AL834" t="s">
        <v>105</v>
      </c>
      <c r="AM834" t="e">
        <v>#VALUE!</v>
      </c>
    </row>
    <row r="835" spans="32:39" hidden="1">
      <c r="AF835" t="e">
        <v>#VALUE!</v>
      </c>
      <c r="AG835" t="e">
        <v>#VALUE!</v>
      </c>
      <c r="AH835" t="e">
        <v>#VALUE!</v>
      </c>
      <c r="AI835" t="e">
        <v>#VALUE!</v>
      </c>
      <c r="AJ835" t="e">
        <v>#VALUE!</v>
      </c>
      <c r="AK835" t="e">
        <v>#VALUE!</v>
      </c>
      <c r="AL835" t="s">
        <v>105</v>
      </c>
      <c r="AM835" t="e">
        <v>#VALUE!</v>
      </c>
    </row>
    <row r="836" spans="32:39" hidden="1">
      <c r="AF836" t="e">
        <v>#VALUE!</v>
      </c>
      <c r="AG836" t="e">
        <v>#VALUE!</v>
      </c>
      <c r="AH836" t="e">
        <v>#VALUE!</v>
      </c>
      <c r="AI836" t="e">
        <v>#VALUE!</v>
      </c>
      <c r="AJ836" t="e">
        <v>#VALUE!</v>
      </c>
      <c r="AK836" t="e">
        <v>#VALUE!</v>
      </c>
      <c r="AL836" t="s">
        <v>105</v>
      </c>
      <c r="AM836" t="e">
        <v>#VALUE!</v>
      </c>
    </row>
    <row r="837" spans="32:39" hidden="1">
      <c r="AF837" t="e">
        <v>#VALUE!</v>
      </c>
      <c r="AG837" t="e">
        <v>#VALUE!</v>
      </c>
      <c r="AH837" t="e">
        <v>#VALUE!</v>
      </c>
      <c r="AI837" t="e">
        <v>#VALUE!</v>
      </c>
      <c r="AJ837" t="e">
        <v>#VALUE!</v>
      </c>
      <c r="AK837" t="e">
        <v>#VALUE!</v>
      </c>
      <c r="AL837" t="s">
        <v>105</v>
      </c>
      <c r="AM837" t="e">
        <v>#VALUE!</v>
      </c>
    </row>
    <row r="838" spans="32:39" hidden="1">
      <c r="AF838" t="e">
        <v>#VALUE!</v>
      </c>
      <c r="AG838" t="e">
        <v>#VALUE!</v>
      </c>
      <c r="AH838" t="e">
        <v>#VALUE!</v>
      </c>
      <c r="AI838" t="e">
        <v>#VALUE!</v>
      </c>
      <c r="AJ838" t="e">
        <v>#VALUE!</v>
      </c>
      <c r="AK838" t="e">
        <v>#VALUE!</v>
      </c>
      <c r="AL838" t="s">
        <v>105</v>
      </c>
      <c r="AM838" t="e">
        <v>#VALUE!</v>
      </c>
    </row>
    <row r="839" spans="32:39" hidden="1">
      <c r="AF839" t="e">
        <v>#VALUE!</v>
      </c>
      <c r="AG839" t="e">
        <v>#VALUE!</v>
      </c>
      <c r="AH839" t="e">
        <v>#VALUE!</v>
      </c>
      <c r="AI839" t="e">
        <v>#VALUE!</v>
      </c>
      <c r="AJ839" t="e">
        <v>#VALUE!</v>
      </c>
      <c r="AK839" t="e">
        <v>#VALUE!</v>
      </c>
      <c r="AL839" t="s">
        <v>105</v>
      </c>
      <c r="AM839" t="e">
        <v>#VALUE!</v>
      </c>
    </row>
    <row r="840" spans="32:39" hidden="1">
      <c r="AF840" t="e">
        <v>#VALUE!</v>
      </c>
      <c r="AG840" t="e">
        <v>#VALUE!</v>
      </c>
      <c r="AH840" t="e">
        <v>#VALUE!</v>
      </c>
      <c r="AI840" t="e">
        <v>#VALUE!</v>
      </c>
      <c r="AJ840" t="e">
        <v>#VALUE!</v>
      </c>
      <c r="AK840" t="e">
        <v>#VALUE!</v>
      </c>
      <c r="AL840" t="s">
        <v>105</v>
      </c>
      <c r="AM840" t="e">
        <v>#VALUE!</v>
      </c>
    </row>
    <row r="841" spans="32:39" hidden="1">
      <c r="AF841" t="e">
        <v>#VALUE!</v>
      </c>
      <c r="AG841" t="e">
        <v>#VALUE!</v>
      </c>
      <c r="AH841" t="e">
        <v>#VALUE!</v>
      </c>
      <c r="AI841" t="e">
        <v>#VALUE!</v>
      </c>
      <c r="AJ841" t="e">
        <v>#VALUE!</v>
      </c>
      <c r="AK841" t="e">
        <v>#VALUE!</v>
      </c>
      <c r="AL841" t="s">
        <v>105</v>
      </c>
      <c r="AM841" t="e">
        <v>#VALUE!</v>
      </c>
    </row>
    <row r="842" spans="32:39" hidden="1">
      <c r="AF842" t="e">
        <v>#VALUE!</v>
      </c>
      <c r="AG842" t="e">
        <v>#VALUE!</v>
      </c>
      <c r="AH842" t="e">
        <v>#VALUE!</v>
      </c>
      <c r="AI842" t="e">
        <v>#VALUE!</v>
      </c>
      <c r="AJ842" t="e">
        <v>#VALUE!</v>
      </c>
      <c r="AK842" t="e">
        <v>#VALUE!</v>
      </c>
      <c r="AL842" t="s">
        <v>105</v>
      </c>
      <c r="AM842" t="e">
        <v>#VALUE!</v>
      </c>
    </row>
    <row r="843" spans="32:39" hidden="1">
      <c r="AF843" t="e">
        <v>#VALUE!</v>
      </c>
      <c r="AG843" t="e">
        <v>#VALUE!</v>
      </c>
      <c r="AH843" t="e">
        <v>#VALUE!</v>
      </c>
      <c r="AI843" t="e">
        <v>#VALUE!</v>
      </c>
      <c r="AJ843" t="e">
        <v>#VALUE!</v>
      </c>
      <c r="AK843" t="e">
        <v>#VALUE!</v>
      </c>
      <c r="AL843" t="s">
        <v>105</v>
      </c>
      <c r="AM843" t="e">
        <v>#VALUE!</v>
      </c>
    </row>
    <row r="844" spans="32:39" hidden="1">
      <c r="AF844" t="e">
        <v>#VALUE!</v>
      </c>
      <c r="AG844" t="e">
        <v>#VALUE!</v>
      </c>
      <c r="AH844" t="e">
        <v>#VALUE!</v>
      </c>
      <c r="AI844" t="e">
        <v>#VALUE!</v>
      </c>
      <c r="AJ844" t="e">
        <v>#VALUE!</v>
      </c>
      <c r="AK844" t="e">
        <v>#VALUE!</v>
      </c>
      <c r="AL844" t="s">
        <v>105</v>
      </c>
      <c r="AM844" t="e">
        <v>#VALUE!</v>
      </c>
    </row>
    <row r="845" spans="32:39" hidden="1">
      <c r="AF845" t="e">
        <v>#VALUE!</v>
      </c>
      <c r="AG845" t="e">
        <v>#VALUE!</v>
      </c>
      <c r="AH845" t="e">
        <v>#VALUE!</v>
      </c>
      <c r="AI845" t="e">
        <v>#VALUE!</v>
      </c>
      <c r="AJ845" t="e">
        <v>#VALUE!</v>
      </c>
      <c r="AK845" t="e">
        <v>#VALUE!</v>
      </c>
      <c r="AL845" t="s">
        <v>105</v>
      </c>
      <c r="AM845" t="e">
        <v>#VALUE!</v>
      </c>
    </row>
    <row r="846" spans="32:39" hidden="1">
      <c r="AF846" t="e">
        <v>#VALUE!</v>
      </c>
      <c r="AG846" t="e">
        <v>#VALUE!</v>
      </c>
      <c r="AH846" t="e">
        <v>#VALUE!</v>
      </c>
      <c r="AI846" t="e">
        <v>#VALUE!</v>
      </c>
      <c r="AJ846" t="e">
        <v>#VALUE!</v>
      </c>
      <c r="AK846" t="e">
        <v>#VALUE!</v>
      </c>
      <c r="AL846" t="s">
        <v>105</v>
      </c>
      <c r="AM846" t="e">
        <v>#VALUE!</v>
      </c>
    </row>
    <row r="847" spans="32:39" hidden="1">
      <c r="AF847" t="e">
        <v>#VALUE!</v>
      </c>
      <c r="AG847" t="e">
        <v>#VALUE!</v>
      </c>
      <c r="AH847" t="e">
        <v>#VALUE!</v>
      </c>
      <c r="AI847" t="e">
        <v>#VALUE!</v>
      </c>
      <c r="AJ847" t="e">
        <v>#VALUE!</v>
      </c>
      <c r="AK847" t="e">
        <v>#VALUE!</v>
      </c>
      <c r="AL847" t="s">
        <v>105</v>
      </c>
      <c r="AM847" t="e">
        <v>#VALUE!</v>
      </c>
    </row>
    <row r="848" spans="32:39" hidden="1">
      <c r="AF848" t="e">
        <v>#VALUE!</v>
      </c>
      <c r="AG848" t="e">
        <v>#VALUE!</v>
      </c>
      <c r="AH848" t="e">
        <v>#VALUE!</v>
      </c>
      <c r="AI848" t="e">
        <v>#VALUE!</v>
      </c>
      <c r="AJ848" t="e">
        <v>#VALUE!</v>
      </c>
      <c r="AK848" t="e">
        <v>#VALUE!</v>
      </c>
      <c r="AL848" t="s">
        <v>105</v>
      </c>
      <c r="AM848" t="e">
        <v>#VALUE!</v>
      </c>
    </row>
    <row r="849" spans="32:39" hidden="1">
      <c r="AF849" t="e">
        <v>#VALUE!</v>
      </c>
      <c r="AG849" t="e">
        <v>#VALUE!</v>
      </c>
      <c r="AH849" t="e">
        <v>#VALUE!</v>
      </c>
      <c r="AI849" t="e">
        <v>#VALUE!</v>
      </c>
      <c r="AJ849" t="e">
        <v>#VALUE!</v>
      </c>
      <c r="AK849" t="e">
        <v>#VALUE!</v>
      </c>
      <c r="AL849" t="s">
        <v>105</v>
      </c>
      <c r="AM849" t="e">
        <v>#VALUE!</v>
      </c>
    </row>
    <row r="850" spans="32:39" hidden="1">
      <c r="AF850" t="e">
        <v>#VALUE!</v>
      </c>
      <c r="AG850" t="e">
        <v>#VALUE!</v>
      </c>
      <c r="AH850" t="e">
        <v>#VALUE!</v>
      </c>
      <c r="AI850" t="e">
        <v>#VALUE!</v>
      </c>
      <c r="AJ850" t="e">
        <v>#VALUE!</v>
      </c>
      <c r="AK850" t="e">
        <v>#VALUE!</v>
      </c>
      <c r="AL850" t="s">
        <v>105</v>
      </c>
      <c r="AM850" t="e">
        <v>#VALUE!</v>
      </c>
    </row>
    <row r="851" spans="32:39" hidden="1">
      <c r="AF851" t="e">
        <v>#VALUE!</v>
      </c>
      <c r="AG851" t="e">
        <v>#VALUE!</v>
      </c>
      <c r="AH851" t="e">
        <v>#VALUE!</v>
      </c>
      <c r="AI851" t="e">
        <v>#VALUE!</v>
      </c>
      <c r="AJ851" t="e">
        <v>#VALUE!</v>
      </c>
      <c r="AK851" t="e">
        <v>#VALUE!</v>
      </c>
      <c r="AL851" t="s">
        <v>105</v>
      </c>
      <c r="AM851" t="e">
        <v>#VALUE!</v>
      </c>
    </row>
    <row r="852" spans="32:39" hidden="1">
      <c r="AF852" t="e">
        <v>#VALUE!</v>
      </c>
      <c r="AG852" t="e">
        <v>#VALUE!</v>
      </c>
      <c r="AH852" t="e">
        <v>#VALUE!</v>
      </c>
      <c r="AI852" t="e">
        <v>#VALUE!</v>
      </c>
      <c r="AJ852" t="e">
        <v>#VALUE!</v>
      </c>
      <c r="AK852" t="e">
        <v>#VALUE!</v>
      </c>
      <c r="AL852" t="s">
        <v>105</v>
      </c>
      <c r="AM852" t="e">
        <v>#VALUE!</v>
      </c>
    </row>
    <row r="853" spans="32:39" hidden="1">
      <c r="AF853" t="e">
        <v>#VALUE!</v>
      </c>
      <c r="AG853" t="e">
        <v>#VALUE!</v>
      </c>
      <c r="AH853" t="e">
        <v>#VALUE!</v>
      </c>
      <c r="AI853" t="e">
        <v>#VALUE!</v>
      </c>
      <c r="AJ853" t="e">
        <v>#VALUE!</v>
      </c>
      <c r="AK853" t="e">
        <v>#VALUE!</v>
      </c>
      <c r="AL853" t="s">
        <v>105</v>
      </c>
      <c r="AM853" t="e">
        <v>#VALUE!</v>
      </c>
    </row>
    <row r="854" spans="32:39" hidden="1">
      <c r="AF854" t="e">
        <v>#VALUE!</v>
      </c>
      <c r="AG854" t="e">
        <v>#VALUE!</v>
      </c>
      <c r="AH854" t="e">
        <v>#VALUE!</v>
      </c>
      <c r="AI854" t="e">
        <v>#VALUE!</v>
      </c>
      <c r="AJ854" t="e">
        <v>#VALUE!</v>
      </c>
      <c r="AK854" t="e">
        <v>#VALUE!</v>
      </c>
      <c r="AL854" t="s">
        <v>105</v>
      </c>
      <c r="AM854" t="e">
        <v>#VALUE!</v>
      </c>
    </row>
    <row r="855" spans="32:39" hidden="1">
      <c r="AF855" t="e">
        <v>#VALUE!</v>
      </c>
      <c r="AG855" t="e">
        <v>#VALUE!</v>
      </c>
      <c r="AH855" t="e">
        <v>#VALUE!</v>
      </c>
      <c r="AI855" t="e">
        <v>#VALUE!</v>
      </c>
      <c r="AJ855" t="e">
        <v>#VALUE!</v>
      </c>
      <c r="AK855" t="e">
        <v>#VALUE!</v>
      </c>
      <c r="AL855" t="s">
        <v>105</v>
      </c>
      <c r="AM855" t="e">
        <v>#VALUE!</v>
      </c>
    </row>
    <row r="856" spans="32:39" hidden="1">
      <c r="AF856" t="e">
        <v>#VALUE!</v>
      </c>
      <c r="AG856" t="e">
        <v>#VALUE!</v>
      </c>
      <c r="AH856" t="e">
        <v>#VALUE!</v>
      </c>
      <c r="AI856" t="e">
        <v>#VALUE!</v>
      </c>
      <c r="AJ856" t="e">
        <v>#VALUE!</v>
      </c>
      <c r="AK856" t="e">
        <v>#VALUE!</v>
      </c>
      <c r="AL856" t="s">
        <v>105</v>
      </c>
      <c r="AM856" t="e">
        <v>#VALUE!</v>
      </c>
    </row>
    <row r="857" spans="32:39" hidden="1">
      <c r="AF857" t="e">
        <v>#VALUE!</v>
      </c>
      <c r="AG857" t="e">
        <v>#VALUE!</v>
      </c>
      <c r="AH857" t="e">
        <v>#VALUE!</v>
      </c>
      <c r="AI857" t="e">
        <v>#VALUE!</v>
      </c>
      <c r="AJ857" t="e">
        <v>#VALUE!</v>
      </c>
      <c r="AK857" t="e">
        <v>#VALUE!</v>
      </c>
      <c r="AL857" t="s">
        <v>105</v>
      </c>
      <c r="AM857" t="e">
        <v>#VALUE!</v>
      </c>
    </row>
    <row r="858" spans="32:39" hidden="1">
      <c r="AF858" t="e">
        <v>#VALUE!</v>
      </c>
      <c r="AG858" t="e">
        <v>#VALUE!</v>
      </c>
      <c r="AH858" t="e">
        <v>#VALUE!</v>
      </c>
      <c r="AI858" t="e">
        <v>#VALUE!</v>
      </c>
      <c r="AJ858" t="e">
        <v>#VALUE!</v>
      </c>
      <c r="AK858" t="e">
        <v>#VALUE!</v>
      </c>
      <c r="AL858" t="s">
        <v>105</v>
      </c>
      <c r="AM858" t="e">
        <v>#VALUE!</v>
      </c>
    </row>
    <row r="859" spans="32:39" hidden="1">
      <c r="AF859" t="e">
        <v>#VALUE!</v>
      </c>
      <c r="AG859" t="e">
        <v>#VALUE!</v>
      </c>
      <c r="AH859" t="e">
        <v>#VALUE!</v>
      </c>
      <c r="AI859" t="e">
        <v>#VALUE!</v>
      </c>
      <c r="AJ859" t="e">
        <v>#VALUE!</v>
      </c>
      <c r="AK859" t="e">
        <v>#VALUE!</v>
      </c>
      <c r="AL859" t="s">
        <v>105</v>
      </c>
      <c r="AM859" t="e">
        <v>#VALUE!</v>
      </c>
    </row>
    <row r="860" spans="32:39" hidden="1">
      <c r="AF860" t="e">
        <v>#VALUE!</v>
      </c>
      <c r="AG860" t="e">
        <v>#VALUE!</v>
      </c>
      <c r="AH860" t="e">
        <v>#VALUE!</v>
      </c>
      <c r="AI860" t="e">
        <v>#VALUE!</v>
      </c>
      <c r="AJ860" t="e">
        <v>#VALUE!</v>
      </c>
      <c r="AK860" t="e">
        <v>#VALUE!</v>
      </c>
      <c r="AL860" t="s">
        <v>105</v>
      </c>
      <c r="AM860" t="e">
        <v>#VALUE!</v>
      </c>
    </row>
    <row r="861" spans="32:39" hidden="1">
      <c r="AF861" t="e">
        <v>#VALUE!</v>
      </c>
      <c r="AG861" t="e">
        <v>#VALUE!</v>
      </c>
      <c r="AH861" t="e">
        <v>#VALUE!</v>
      </c>
      <c r="AI861" t="e">
        <v>#VALUE!</v>
      </c>
      <c r="AJ861" t="e">
        <v>#VALUE!</v>
      </c>
      <c r="AK861" t="e">
        <v>#VALUE!</v>
      </c>
      <c r="AL861" t="s">
        <v>105</v>
      </c>
      <c r="AM861" t="e">
        <v>#VALUE!</v>
      </c>
    </row>
    <row r="862" spans="32:39" hidden="1">
      <c r="AF862" t="e">
        <v>#VALUE!</v>
      </c>
      <c r="AG862" t="e">
        <v>#VALUE!</v>
      </c>
      <c r="AH862" t="e">
        <v>#VALUE!</v>
      </c>
      <c r="AI862" t="e">
        <v>#VALUE!</v>
      </c>
      <c r="AJ862" t="e">
        <v>#VALUE!</v>
      </c>
      <c r="AK862" t="e">
        <v>#VALUE!</v>
      </c>
      <c r="AL862" t="s">
        <v>105</v>
      </c>
      <c r="AM862" t="e">
        <v>#VALUE!</v>
      </c>
    </row>
    <row r="863" spans="32:39" hidden="1">
      <c r="AF863" t="e">
        <v>#VALUE!</v>
      </c>
      <c r="AG863" t="e">
        <v>#VALUE!</v>
      </c>
      <c r="AH863" t="e">
        <v>#VALUE!</v>
      </c>
      <c r="AI863" t="e">
        <v>#VALUE!</v>
      </c>
      <c r="AJ863" t="e">
        <v>#VALUE!</v>
      </c>
      <c r="AK863" t="e">
        <v>#VALUE!</v>
      </c>
      <c r="AL863" t="s">
        <v>105</v>
      </c>
      <c r="AM863" t="e">
        <v>#VALUE!</v>
      </c>
    </row>
    <row r="864" spans="32:39" hidden="1">
      <c r="AF864" t="e">
        <v>#VALUE!</v>
      </c>
      <c r="AG864" t="e">
        <v>#VALUE!</v>
      </c>
      <c r="AH864" t="e">
        <v>#VALUE!</v>
      </c>
      <c r="AI864" t="e">
        <v>#VALUE!</v>
      </c>
      <c r="AJ864" t="e">
        <v>#VALUE!</v>
      </c>
      <c r="AK864" t="e">
        <v>#VALUE!</v>
      </c>
      <c r="AL864" t="s">
        <v>105</v>
      </c>
      <c r="AM864" t="e">
        <v>#VALUE!</v>
      </c>
    </row>
    <row r="865" spans="32:39" hidden="1">
      <c r="AF865" t="e">
        <v>#VALUE!</v>
      </c>
      <c r="AG865" t="e">
        <v>#VALUE!</v>
      </c>
      <c r="AH865" t="e">
        <v>#VALUE!</v>
      </c>
      <c r="AI865" t="e">
        <v>#VALUE!</v>
      </c>
      <c r="AJ865" t="e">
        <v>#VALUE!</v>
      </c>
      <c r="AK865" t="e">
        <v>#VALUE!</v>
      </c>
      <c r="AL865" t="s">
        <v>105</v>
      </c>
      <c r="AM865" t="e">
        <v>#VALUE!</v>
      </c>
    </row>
    <row r="866" spans="32:39" hidden="1">
      <c r="AF866" t="e">
        <v>#VALUE!</v>
      </c>
      <c r="AG866" t="e">
        <v>#VALUE!</v>
      </c>
      <c r="AH866" t="e">
        <v>#VALUE!</v>
      </c>
      <c r="AI866" t="e">
        <v>#VALUE!</v>
      </c>
      <c r="AJ866" t="e">
        <v>#VALUE!</v>
      </c>
      <c r="AK866" t="e">
        <v>#VALUE!</v>
      </c>
      <c r="AL866" t="s">
        <v>105</v>
      </c>
      <c r="AM866" t="e">
        <v>#VALUE!</v>
      </c>
    </row>
    <row r="867" spans="32:39" hidden="1">
      <c r="AF867" t="e">
        <v>#VALUE!</v>
      </c>
      <c r="AG867" t="e">
        <v>#VALUE!</v>
      </c>
      <c r="AH867" t="e">
        <v>#VALUE!</v>
      </c>
      <c r="AI867" t="e">
        <v>#VALUE!</v>
      </c>
      <c r="AJ867" t="e">
        <v>#VALUE!</v>
      </c>
      <c r="AK867" t="e">
        <v>#VALUE!</v>
      </c>
      <c r="AL867" t="s">
        <v>105</v>
      </c>
      <c r="AM867" t="e">
        <v>#VALUE!</v>
      </c>
    </row>
    <row r="868" spans="32:39" hidden="1">
      <c r="AF868" t="e">
        <v>#VALUE!</v>
      </c>
      <c r="AG868" t="e">
        <v>#VALUE!</v>
      </c>
      <c r="AH868" t="e">
        <v>#VALUE!</v>
      </c>
      <c r="AI868" t="e">
        <v>#VALUE!</v>
      </c>
      <c r="AJ868" t="e">
        <v>#VALUE!</v>
      </c>
      <c r="AK868" t="e">
        <v>#VALUE!</v>
      </c>
      <c r="AL868" t="s">
        <v>105</v>
      </c>
      <c r="AM868" t="e">
        <v>#VALUE!</v>
      </c>
    </row>
    <row r="869" spans="32:39" hidden="1">
      <c r="AF869" t="e">
        <v>#VALUE!</v>
      </c>
      <c r="AG869" t="e">
        <v>#VALUE!</v>
      </c>
      <c r="AH869" t="e">
        <v>#VALUE!</v>
      </c>
      <c r="AI869" t="e">
        <v>#VALUE!</v>
      </c>
      <c r="AJ869" t="e">
        <v>#VALUE!</v>
      </c>
      <c r="AK869" t="e">
        <v>#VALUE!</v>
      </c>
      <c r="AL869" t="s">
        <v>105</v>
      </c>
      <c r="AM869" t="e">
        <v>#VALUE!</v>
      </c>
    </row>
    <row r="870" spans="32:39" hidden="1">
      <c r="AF870" t="e">
        <v>#VALUE!</v>
      </c>
      <c r="AG870" t="e">
        <v>#VALUE!</v>
      </c>
      <c r="AH870" t="e">
        <v>#VALUE!</v>
      </c>
      <c r="AI870" t="e">
        <v>#VALUE!</v>
      </c>
      <c r="AJ870" t="e">
        <v>#VALUE!</v>
      </c>
      <c r="AK870" t="e">
        <v>#VALUE!</v>
      </c>
      <c r="AL870" t="s">
        <v>105</v>
      </c>
      <c r="AM870" t="e">
        <v>#VALUE!</v>
      </c>
    </row>
    <row r="871" spans="32:39" hidden="1">
      <c r="AF871" t="e">
        <v>#VALUE!</v>
      </c>
      <c r="AG871" t="e">
        <v>#VALUE!</v>
      </c>
      <c r="AH871" t="e">
        <v>#VALUE!</v>
      </c>
      <c r="AI871" t="e">
        <v>#VALUE!</v>
      </c>
      <c r="AJ871" t="e">
        <v>#VALUE!</v>
      </c>
      <c r="AK871" t="e">
        <v>#VALUE!</v>
      </c>
      <c r="AL871" t="s">
        <v>105</v>
      </c>
      <c r="AM871" t="e">
        <v>#VALUE!</v>
      </c>
    </row>
    <row r="872" spans="32:39" hidden="1">
      <c r="AF872" t="e">
        <v>#VALUE!</v>
      </c>
      <c r="AG872" t="e">
        <v>#VALUE!</v>
      </c>
      <c r="AH872" t="e">
        <v>#VALUE!</v>
      </c>
      <c r="AI872" t="e">
        <v>#VALUE!</v>
      </c>
      <c r="AJ872" t="e">
        <v>#VALUE!</v>
      </c>
      <c r="AK872" t="e">
        <v>#VALUE!</v>
      </c>
      <c r="AL872" t="s">
        <v>105</v>
      </c>
      <c r="AM872" t="e">
        <v>#VALUE!</v>
      </c>
    </row>
    <row r="873" spans="32:39" hidden="1">
      <c r="AF873" t="e">
        <v>#VALUE!</v>
      </c>
      <c r="AG873" t="e">
        <v>#VALUE!</v>
      </c>
      <c r="AH873" t="e">
        <v>#VALUE!</v>
      </c>
      <c r="AI873" t="e">
        <v>#VALUE!</v>
      </c>
      <c r="AJ873" t="e">
        <v>#VALUE!</v>
      </c>
      <c r="AK873" t="e">
        <v>#VALUE!</v>
      </c>
      <c r="AL873" t="s">
        <v>105</v>
      </c>
      <c r="AM873" t="e">
        <v>#VALUE!</v>
      </c>
    </row>
    <row r="874" spans="32:39" hidden="1">
      <c r="AF874" t="e">
        <v>#VALUE!</v>
      </c>
      <c r="AG874" t="e">
        <v>#VALUE!</v>
      </c>
      <c r="AH874" t="e">
        <v>#VALUE!</v>
      </c>
      <c r="AI874" t="e">
        <v>#VALUE!</v>
      </c>
      <c r="AJ874" t="e">
        <v>#VALUE!</v>
      </c>
      <c r="AK874" t="e">
        <v>#VALUE!</v>
      </c>
      <c r="AL874" t="s">
        <v>105</v>
      </c>
      <c r="AM874" t="e">
        <v>#VALUE!</v>
      </c>
    </row>
    <row r="875" spans="32:39" hidden="1">
      <c r="AF875" t="e">
        <v>#VALUE!</v>
      </c>
      <c r="AG875" t="e">
        <v>#VALUE!</v>
      </c>
      <c r="AH875" t="e">
        <v>#VALUE!</v>
      </c>
      <c r="AI875" t="e">
        <v>#VALUE!</v>
      </c>
      <c r="AJ875" t="e">
        <v>#VALUE!</v>
      </c>
      <c r="AK875" t="e">
        <v>#VALUE!</v>
      </c>
      <c r="AL875" t="s">
        <v>105</v>
      </c>
      <c r="AM875" t="e">
        <v>#VALUE!</v>
      </c>
    </row>
    <row r="876" spans="32:39" hidden="1">
      <c r="AF876" t="e">
        <v>#VALUE!</v>
      </c>
      <c r="AG876" t="e">
        <v>#VALUE!</v>
      </c>
      <c r="AH876" t="e">
        <v>#VALUE!</v>
      </c>
      <c r="AI876" t="e">
        <v>#VALUE!</v>
      </c>
      <c r="AJ876" t="e">
        <v>#VALUE!</v>
      </c>
      <c r="AK876" t="e">
        <v>#VALUE!</v>
      </c>
      <c r="AL876" t="s">
        <v>105</v>
      </c>
      <c r="AM876" t="e">
        <v>#VALUE!</v>
      </c>
    </row>
    <row r="877" spans="32:39" hidden="1">
      <c r="AF877" t="e">
        <v>#VALUE!</v>
      </c>
      <c r="AG877" t="e">
        <v>#VALUE!</v>
      </c>
      <c r="AH877" t="e">
        <v>#VALUE!</v>
      </c>
      <c r="AI877" t="e">
        <v>#VALUE!</v>
      </c>
      <c r="AJ877" t="e">
        <v>#VALUE!</v>
      </c>
      <c r="AK877" t="e">
        <v>#VALUE!</v>
      </c>
      <c r="AL877" t="s">
        <v>105</v>
      </c>
      <c r="AM877" t="e">
        <v>#VALUE!</v>
      </c>
    </row>
    <row r="878" spans="32:39" hidden="1">
      <c r="AF878" t="e">
        <v>#VALUE!</v>
      </c>
      <c r="AG878" t="e">
        <v>#VALUE!</v>
      </c>
      <c r="AH878" t="e">
        <v>#VALUE!</v>
      </c>
      <c r="AI878" t="e">
        <v>#VALUE!</v>
      </c>
      <c r="AJ878" t="e">
        <v>#VALUE!</v>
      </c>
      <c r="AK878" t="e">
        <v>#VALUE!</v>
      </c>
      <c r="AL878" t="s">
        <v>105</v>
      </c>
      <c r="AM878" t="e">
        <v>#VALUE!</v>
      </c>
    </row>
    <row r="879" spans="32:39" hidden="1">
      <c r="AF879" t="e">
        <v>#VALUE!</v>
      </c>
      <c r="AG879" t="e">
        <v>#VALUE!</v>
      </c>
      <c r="AH879" t="e">
        <v>#VALUE!</v>
      </c>
      <c r="AI879" t="e">
        <v>#VALUE!</v>
      </c>
      <c r="AJ879" t="e">
        <v>#VALUE!</v>
      </c>
      <c r="AK879" t="e">
        <v>#VALUE!</v>
      </c>
      <c r="AL879" t="s">
        <v>105</v>
      </c>
      <c r="AM879" t="e">
        <v>#VALUE!</v>
      </c>
    </row>
    <row r="880" spans="32:39" hidden="1">
      <c r="AF880" t="e">
        <v>#VALUE!</v>
      </c>
      <c r="AG880" t="e">
        <v>#VALUE!</v>
      </c>
      <c r="AH880" t="e">
        <v>#VALUE!</v>
      </c>
      <c r="AI880" t="e">
        <v>#VALUE!</v>
      </c>
      <c r="AJ880" t="e">
        <v>#VALUE!</v>
      </c>
      <c r="AK880" t="e">
        <v>#VALUE!</v>
      </c>
      <c r="AL880" t="s">
        <v>105</v>
      </c>
      <c r="AM880" t="e">
        <v>#VALUE!</v>
      </c>
    </row>
    <row r="881" spans="32:39" hidden="1">
      <c r="AF881" t="e">
        <v>#VALUE!</v>
      </c>
      <c r="AG881" t="e">
        <v>#VALUE!</v>
      </c>
      <c r="AH881" t="e">
        <v>#VALUE!</v>
      </c>
      <c r="AI881" t="e">
        <v>#VALUE!</v>
      </c>
      <c r="AJ881" t="e">
        <v>#VALUE!</v>
      </c>
      <c r="AK881" t="e">
        <v>#VALUE!</v>
      </c>
      <c r="AL881" t="s">
        <v>105</v>
      </c>
      <c r="AM881" t="e">
        <v>#VALUE!</v>
      </c>
    </row>
    <row r="882" spans="32:39" hidden="1">
      <c r="AF882" t="e">
        <v>#VALUE!</v>
      </c>
      <c r="AG882" t="e">
        <v>#VALUE!</v>
      </c>
      <c r="AH882" t="e">
        <v>#VALUE!</v>
      </c>
      <c r="AI882" t="e">
        <v>#VALUE!</v>
      </c>
      <c r="AJ882" t="e">
        <v>#VALUE!</v>
      </c>
      <c r="AK882" t="e">
        <v>#VALUE!</v>
      </c>
      <c r="AL882" t="s">
        <v>105</v>
      </c>
      <c r="AM882" t="e">
        <v>#VALUE!</v>
      </c>
    </row>
    <row r="883" spans="32:39" hidden="1">
      <c r="AF883" t="e">
        <v>#VALUE!</v>
      </c>
      <c r="AG883" t="e">
        <v>#VALUE!</v>
      </c>
      <c r="AH883" t="e">
        <v>#VALUE!</v>
      </c>
      <c r="AI883" t="e">
        <v>#VALUE!</v>
      </c>
      <c r="AJ883" t="e">
        <v>#VALUE!</v>
      </c>
      <c r="AK883" t="e">
        <v>#VALUE!</v>
      </c>
      <c r="AL883" t="s">
        <v>105</v>
      </c>
      <c r="AM883" t="e">
        <v>#VALUE!</v>
      </c>
    </row>
    <row r="884" spans="32:39" hidden="1">
      <c r="AF884" t="e">
        <v>#VALUE!</v>
      </c>
      <c r="AG884" t="e">
        <v>#VALUE!</v>
      </c>
      <c r="AH884" t="e">
        <v>#VALUE!</v>
      </c>
      <c r="AI884" t="e">
        <v>#VALUE!</v>
      </c>
      <c r="AJ884" t="e">
        <v>#VALUE!</v>
      </c>
      <c r="AK884" t="e">
        <v>#VALUE!</v>
      </c>
      <c r="AL884" t="s">
        <v>105</v>
      </c>
      <c r="AM884" t="e">
        <v>#VALUE!</v>
      </c>
    </row>
    <row r="885" spans="32:39" hidden="1">
      <c r="AF885" t="e">
        <v>#VALUE!</v>
      </c>
      <c r="AG885" t="e">
        <v>#VALUE!</v>
      </c>
      <c r="AH885" t="e">
        <v>#VALUE!</v>
      </c>
      <c r="AI885" t="e">
        <v>#VALUE!</v>
      </c>
      <c r="AJ885" t="e">
        <v>#VALUE!</v>
      </c>
      <c r="AK885" t="e">
        <v>#VALUE!</v>
      </c>
      <c r="AL885" t="s">
        <v>105</v>
      </c>
      <c r="AM885" t="e">
        <v>#VALUE!</v>
      </c>
    </row>
    <row r="886" spans="32:39" hidden="1">
      <c r="AF886" t="e">
        <v>#VALUE!</v>
      </c>
      <c r="AG886" t="e">
        <v>#VALUE!</v>
      </c>
      <c r="AH886" t="e">
        <v>#VALUE!</v>
      </c>
      <c r="AI886" t="e">
        <v>#VALUE!</v>
      </c>
      <c r="AJ886" t="e">
        <v>#VALUE!</v>
      </c>
      <c r="AK886" t="e">
        <v>#VALUE!</v>
      </c>
      <c r="AL886" t="s">
        <v>105</v>
      </c>
      <c r="AM886" t="e">
        <v>#VALUE!</v>
      </c>
    </row>
    <row r="887" spans="32:39" hidden="1">
      <c r="AF887" t="e">
        <v>#VALUE!</v>
      </c>
      <c r="AG887" t="e">
        <v>#VALUE!</v>
      </c>
      <c r="AH887" t="e">
        <v>#VALUE!</v>
      </c>
      <c r="AI887" t="e">
        <v>#VALUE!</v>
      </c>
      <c r="AJ887" t="e">
        <v>#VALUE!</v>
      </c>
      <c r="AK887" t="e">
        <v>#VALUE!</v>
      </c>
      <c r="AL887" t="s">
        <v>105</v>
      </c>
      <c r="AM887" t="e">
        <v>#VALUE!</v>
      </c>
    </row>
    <row r="888" spans="32:39" hidden="1">
      <c r="AF888" t="e">
        <v>#VALUE!</v>
      </c>
      <c r="AG888" t="e">
        <v>#VALUE!</v>
      </c>
      <c r="AH888" t="e">
        <v>#VALUE!</v>
      </c>
      <c r="AI888" t="e">
        <v>#VALUE!</v>
      </c>
      <c r="AJ888" t="e">
        <v>#VALUE!</v>
      </c>
      <c r="AK888" t="e">
        <v>#VALUE!</v>
      </c>
      <c r="AL888" t="s">
        <v>105</v>
      </c>
      <c r="AM888" t="e">
        <v>#VALUE!</v>
      </c>
    </row>
    <row r="889" spans="32:39" hidden="1">
      <c r="AF889" t="e">
        <v>#VALUE!</v>
      </c>
      <c r="AG889" t="e">
        <v>#VALUE!</v>
      </c>
      <c r="AH889" t="e">
        <v>#VALUE!</v>
      </c>
      <c r="AI889" t="e">
        <v>#VALUE!</v>
      </c>
      <c r="AJ889" t="e">
        <v>#VALUE!</v>
      </c>
      <c r="AK889" t="e">
        <v>#VALUE!</v>
      </c>
      <c r="AL889" t="s">
        <v>105</v>
      </c>
      <c r="AM889" t="e">
        <v>#VALUE!</v>
      </c>
    </row>
    <row r="890" spans="32:39" hidden="1">
      <c r="AF890" t="e">
        <v>#VALUE!</v>
      </c>
      <c r="AG890" t="e">
        <v>#VALUE!</v>
      </c>
      <c r="AH890" t="e">
        <v>#VALUE!</v>
      </c>
      <c r="AI890" t="e">
        <v>#VALUE!</v>
      </c>
      <c r="AJ890" t="e">
        <v>#VALUE!</v>
      </c>
      <c r="AK890" t="e">
        <v>#VALUE!</v>
      </c>
      <c r="AL890" t="s">
        <v>105</v>
      </c>
      <c r="AM890" t="e">
        <v>#VALUE!</v>
      </c>
    </row>
    <row r="891" spans="32:39" hidden="1">
      <c r="AF891" t="e">
        <v>#VALUE!</v>
      </c>
      <c r="AG891" t="e">
        <v>#VALUE!</v>
      </c>
      <c r="AH891" t="e">
        <v>#VALUE!</v>
      </c>
      <c r="AI891" t="e">
        <v>#VALUE!</v>
      </c>
      <c r="AJ891" t="e">
        <v>#VALUE!</v>
      </c>
      <c r="AK891" t="e">
        <v>#VALUE!</v>
      </c>
      <c r="AL891" t="s">
        <v>105</v>
      </c>
      <c r="AM891" t="e">
        <v>#VALUE!</v>
      </c>
    </row>
    <row r="892" spans="32:39" hidden="1">
      <c r="AF892" t="e">
        <v>#VALUE!</v>
      </c>
      <c r="AG892" t="e">
        <v>#VALUE!</v>
      </c>
      <c r="AH892" t="e">
        <v>#VALUE!</v>
      </c>
      <c r="AI892" t="e">
        <v>#VALUE!</v>
      </c>
      <c r="AJ892" t="e">
        <v>#VALUE!</v>
      </c>
      <c r="AK892" t="e">
        <v>#VALUE!</v>
      </c>
      <c r="AL892" t="s">
        <v>105</v>
      </c>
      <c r="AM892" t="e">
        <v>#VALUE!</v>
      </c>
    </row>
    <row r="893" spans="32:39" hidden="1">
      <c r="AF893" t="e">
        <v>#VALUE!</v>
      </c>
      <c r="AG893" t="e">
        <v>#VALUE!</v>
      </c>
      <c r="AH893" t="e">
        <v>#VALUE!</v>
      </c>
      <c r="AI893" t="e">
        <v>#VALUE!</v>
      </c>
      <c r="AJ893" t="e">
        <v>#VALUE!</v>
      </c>
      <c r="AK893" t="e">
        <v>#VALUE!</v>
      </c>
      <c r="AL893" t="s">
        <v>105</v>
      </c>
      <c r="AM893" t="e">
        <v>#VALUE!</v>
      </c>
    </row>
    <row r="894" spans="32:39" hidden="1">
      <c r="AF894" t="e">
        <v>#VALUE!</v>
      </c>
      <c r="AG894" t="e">
        <v>#VALUE!</v>
      </c>
      <c r="AH894" t="e">
        <v>#VALUE!</v>
      </c>
      <c r="AI894" t="e">
        <v>#VALUE!</v>
      </c>
      <c r="AJ894" t="e">
        <v>#VALUE!</v>
      </c>
      <c r="AK894" t="e">
        <v>#VALUE!</v>
      </c>
      <c r="AL894" t="s">
        <v>105</v>
      </c>
      <c r="AM894" t="e">
        <v>#VALUE!</v>
      </c>
    </row>
    <row r="895" spans="32:39" hidden="1">
      <c r="AF895" t="e">
        <v>#VALUE!</v>
      </c>
      <c r="AG895" t="e">
        <v>#VALUE!</v>
      </c>
      <c r="AH895" t="e">
        <v>#VALUE!</v>
      </c>
      <c r="AI895" t="e">
        <v>#VALUE!</v>
      </c>
      <c r="AJ895" t="e">
        <v>#VALUE!</v>
      </c>
      <c r="AK895" t="e">
        <v>#VALUE!</v>
      </c>
      <c r="AL895" t="s">
        <v>105</v>
      </c>
      <c r="AM895" t="e">
        <v>#VALUE!</v>
      </c>
    </row>
    <row r="896" spans="32:39" hidden="1">
      <c r="AF896" t="e">
        <v>#VALUE!</v>
      </c>
      <c r="AG896" t="e">
        <v>#VALUE!</v>
      </c>
      <c r="AH896" t="e">
        <v>#VALUE!</v>
      </c>
      <c r="AI896" t="e">
        <v>#VALUE!</v>
      </c>
      <c r="AJ896" t="e">
        <v>#VALUE!</v>
      </c>
      <c r="AK896" t="e">
        <v>#VALUE!</v>
      </c>
      <c r="AL896" t="s">
        <v>105</v>
      </c>
      <c r="AM896" t="e">
        <v>#VALUE!</v>
      </c>
    </row>
    <row r="897" spans="32:39" hidden="1">
      <c r="AF897" t="e">
        <v>#VALUE!</v>
      </c>
      <c r="AG897" t="e">
        <v>#VALUE!</v>
      </c>
      <c r="AH897" t="e">
        <v>#VALUE!</v>
      </c>
      <c r="AI897" t="e">
        <v>#VALUE!</v>
      </c>
      <c r="AJ897" t="e">
        <v>#VALUE!</v>
      </c>
      <c r="AK897" t="e">
        <v>#VALUE!</v>
      </c>
      <c r="AL897" t="s">
        <v>105</v>
      </c>
      <c r="AM897" t="e">
        <v>#VALUE!</v>
      </c>
    </row>
    <row r="898" spans="32:39" hidden="1">
      <c r="AF898" t="e">
        <v>#VALUE!</v>
      </c>
      <c r="AG898" t="e">
        <v>#VALUE!</v>
      </c>
      <c r="AH898" t="e">
        <v>#VALUE!</v>
      </c>
      <c r="AI898" t="e">
        <v>#VALUE!</v>
      </c>
      <c r="AJ898" t="e">
        <v>#VALUE!</v>
      </c>
      <c r="AK898" t="e">
        <v>#VALUE!</v>
      </c>
      <c r="AL898" t="s">
        <v>105</v>
      </c>
      <c r="AM898" t="e">
        <v>#VALUE!</v>
      </c>
    </row>
    <row r="899" spans="32:39" hidden="1">
      <c r="AF899" t="e">
        <v>#VALUE!</v>
      </c>
      <c r="AG899" t="e">
        <v>#VALUE!</v>
      </c>
      <c r="AH899" t="e">
        <v>#VALUE!</v>
      </c>
      <c r="AI899" t="e">
        <v>#VALUE!</v>
      </c>
      <c r="AJ899" t="e">
        <v>#VALUE!</v>
      </c>
      <c r="AK899" t="e">
        <v>#VALUE!</v>
      </c>
      <c r="AL899" t="s">
        <v>105</v>
      </c>
      <c r="AM899" t="e">
        <v>#VALUE!</v>
      </c>
    </row>
    <row r="900" spans="32:39" hidden="1">
      <c r="AF900" t="e">
        <v>#VALUE!</v>
      </c>
      <c r="AG900" t="e">
        <v>#VALUE!</v>
      </c>
      <c r="AH900" t="e">
        <v>#VALUE!</v>
      </c>
      <c r="AI900" t="e">
        <v>#VALUE!</v>
      </c>
      <c r="AJ900" t="e">
        <v>#VALUE!</v>
      </c>
      <c r="AK900" t="e">
        <v>#VALUE!</v>
      </c>
      <c r="AL900" t="s">
        <v>105</v>
      </c>
      <c r="AM900" t="e">
        <v>#VALUE!</v>
      </c>
    </row>
    <row r="901" spans="32:39" hidden="1">
      <c r="AF901" t="e">
        <v>#VALUE!</v>
      </c>
      <c r="AG901" t="e">
        <v>#VALUE!</v>
      </c>
      <c r="AH901" t="e">
        <v>#VALUE!</v>
      </c>
      <c r="AI901" t="e">
        <v>#VALUE!</v>
      </c>
      <c r="AJ901" t="e">
        <v>#VALUE!</v>
      </c>
      <c r="AK901" t="e">
        <v>#VALUE!</v>
      </c>
      <c r="AL901" t="s">
        <v>105</v>
      </c>
      <c r="AM901" t="e">
        <v>#VALUE!</v>
      </c>
    </row>
    <row r="902" spans="32:39" hidden="1">
      <c r="AF902" t="e">
        <v>#VALUE!</v>
      </c>
      <c r="AG902" t="e">
        <v>#VALUE!</v>
      </c>
      <c r="AH902" t="e">
        <v>#VALUE!</v>
      </c>
      <c r="AI902" t="e">
        <v>#VALUE!</v>
      </c>
      <c r="AJ902" t="e">
        <v>#VALUE!</v>
      </c>
      <c r="AK902" t="e">
        <v>#VALUE!</v>
      </c>
      <c r="AL902" t="s">
        <v>105</v>
      </c>
      <c r="AM902" t="e">
        <v>#VALUE!</v>
      </c>
    </row>
    <row r="903" spans="32:39" hidden="1">
      <c r="AF903" t="e">
        <v>#VALUE!</v>
      </c>
      <c r="AG903" t="e">
        <v>#VALUE!</v>
      </c>
      <c r="AH903" t="e">
        <v>#VALUE!</v>
      </c>
      <c r="AI903" t="e">
        <v>#VALUE!</v>
      </c>
      <c r="AJ903" t="e">
        <v>#VALUE!</v>
      </c>
      <c r="AK903" t="e">
        <v>#VALUE!</v>
      </c>
      <c r="AL903" t="s">
        <v>105</v>
      </c>
      <c r="AM903" t="e">
        <v>#VALUE!</v>
      </c>
    </row>
    <row r="904" spans="32:39" hidden="1">
      <c r="AF904" t="e">
        <v>#VALUE!</v>
      </c>
      <c r="AG904" t="e">
        <v>#VALUE!</v>
      </c>
      <c r="AH904" t="e">
        <v>#VALUE!</v>
      </c>
      <c r="AI904" t="e">
        <v>#VALUE!</v>
      </c>
      <c r="AJ904" t="e">
        <v>#VALUE!</v>
      </c>
      <c r="AK904" t="e">
        <v>#VALUE!</v>
      </c>
      <c r="AL904" t="s">
        <v>105</v>
      </c>
      <c r="AM904" t="e">
        <v>#VALUE!</v>
      </c>
    </row>
    <row r="905" spans="32:39" hidden="1">
      <c r="AF905" t="e">
        <v>#VALUE!</v>
      </c>
      <c r="AG905" t="e">
        <v>#VALUE!</v>
      </c>
      <c r="AH905" t="e">
        <v>#VALUE!</v>
      </c>
      <c r="AI905" t="e">
        <v>#VALUE!</v>
      </c>
      <c r="AJ905" t="e">
        <v>#VALUE!</v>
      </c>
      <c r="AK905" t="e">
        <v>#VALUE!</v>
      </c>
      <c r="AL905" t="s">
        <v>105</v>
      </c>
      <c r="AM905" t="e">
        <v>#VALUE!</v>
      </c>
    </row>
    <row r="906" spans="32:39" hidden="1">
      <c r="AF906" t="e">
        <v>#VALUE!</v>
      </c>
      <c r="AG906" t="e">
        <v>#VALUE!</v>
      </c>
      <c r="AH906" t="e">
        <v>#VALUE!</v>
      </c>
      <c r="AI906" t="e">
        <v>#VALUE!</v>
      </c>
      <c r="AJ906" t="e">
        <v>#VALUE!</v>
      </c>
      <c r="AK906" t="e">
        <v>#VALUE!</v>
      </c>
      <c r="AL906" t="s">
        <v>105</v>
      </c>
      <c r="AM906" t="e">
        <v>#VALUE!</v>
      </c>
    </row>
    <row r="907" spans="32:39" hidden="1">
      <c r="AF907" t="e">
        <v>#VALUE!</v>
      </c>
      <c r="AG907" t="e">
        <v>#VALUE!</v>
      </c>
      <c r="AH907" t="e">
        <v>#VALUE!</v>
      </c>
      <c r="AI907" t="e">
        <v>#VALUE!</v>
      </c>
      <c r="AJ907" t="e">
        <v>#VALUE!</v>
      </c>
      <c r="AK907" t="e">
        <v>#VALUE!</v>
      </c>
      <c r="AL907" t="s">
        <v>105</v>
      </c>
      <c r="AM907" t="e">
        <v>#VALUE!</v>
      </c>
    </row>
    <row r="908" spans="32:39" hidden="1">
      <c r="AF908" t="e">
        <v>#VALUE!</v>
      </c>
      <c r="AG908" t="e">
        <v>#VALUE!</v>
      </c>
      <c r="AH908" t="e">
        <v>#VALUE!</v>
      </c>
      <c r="AI908" t="e">
        <v>#VALUE!</v>
      </c>
      <c r="AJ908" t="e">
        <v>#VALUE!</v>
      </c>
      <c r="AK908" t="e">
        <v>#VALUE!</v>
      </c>
      <c r="AL908" t="s">
        <v>105</v>
      </c>
      <c r="AM908" t="e">
        <v>#VALUE!</v>
      </c>
    </row>
    <row r="909" spans="32:39" hidden="1">
      <c r="AF909" t="e">
        <v>#VALUE!</v>
      </c>
      <c r="AG909" t="e">
        <v>#VALUE!</v>
      </c>
      <c r="AH909" t="e">
        <v>#VALUE!</v>
      </c>
      <c r="AI909" t="e">
        <v>#VALUE!</v>
      </c>
      <c r="AJ909" t="e">
        <v>#VALUE!</v>
      </c>
      <c r="AK909" t="e">
        <v>#VALUE!</v>
      </c>
      <c r="AL909" t="s">
        <v>105</v>
      </c>
      <c r="AM909" t="e">
        <v>#VALUE!</v>
      </c>
    </row>
    <row r="910" spans="32:39" hidden="1">
      <c r="AF910" t="e">
        <v>#VALUE!</v>
      </c>
      <c r="AG910" t="e">
        <v>#VALUE!</v>
      </c>
      <c r="AH910" t="e">
        <v>#VALUE!</v>
      </c>
      <c r="AI910" t="e">
        <v>#VALUE!</v>
      </c>
      <c r="AJ910" t="e">
        <v>#VALUE!</v>
      </c>
      <c r="AK910" t="e">
        <v>#VALUE!</v>
      </c>
      <c r="AL910" t="s">
        <v>105</v>
      </c>
      <c r="AM910" t="e">
        <v>#VALUE!</v>
      </c>
    </row>
    <row r="911" spans="32:39" hidden="1">
      <c r="AF911" t="e">
        <v>#VALUE!</v>
      </c>
      <c r="AG911" t="e">
        <v>#VALUE!</v>
      </c>
      <c r="AH911" t="e">
        <v>#VALUE!</v>
      </c>
      <c r="AI911" t="e">
        <v>#VALUE!</v>
      </c>
      <c r="AJ911" t="e">
        <v>#VALUE!</v>
      </c>
      <c r="AK911" t="e">
        <v>#VALUE!</v>
      </c>
      <c r="AL911" t="s">
        <v>105</v>
      </c>
      <c r="AM911" t="e">
        <v>#VALUE!</v>
      </c>
    </row>
    <row r="912" spans="32:39" hidden="1">
      <c r="AF912" t="e">
        <v>#VALUE!</v>
      </c>
      <c r="AG912" t="e">
        <v>#VALUE!</v>
      </c>
      <c r="AH912" t="e">
        <v>#VALUE!</v>
      </c>
      <c r="AI912" t="e">
        <v>#VALUE!</v>
      </c>
      <c r="AJ912" t="e">
        <v>#VALUE!</v>
      </c>
      <c r="AK912" t="e">
        <v>#VALUE!</v>
      </c>
      <c r="AL912" t="s">
        <v>105</v>
      </c>
      <c r="AM912" t="e">
        <v>#VALUE!</v>
      </c>
    </row>
    <row r="913" spans="32:39" hidden="1">
      <c r="AF913" t="e">
        <v>#VALUE!</v>
      </c>
      <c r="AG913" t="e">
        <v>#VALUE!</v>
      </c>
      <c r="AH913" t="e">
        <v>#VALUE!</v>
      </c>
      <c r="AI913" t="e">
        <v>#VALUE!</v>
      </c>
      <c r="AJ913" t="e">
        <v>#VALUE!</v>
      </c>
      <c r="AK913" t="e">
        <v>#VALUE!</v>
      </c>
      <c r="AL913" t="s">
        <v>105</v>
      </c>
      <c r="AM913" t="e">
        <v>#VALUE!</v>
      </c>
    </row>
    <row r="914" spans="32:39" hidden="1">
      <c r="AF914" t="e">
        <v>#VALUE!</v>
      </c>
      <c r="AG914" t="e">
        <v>#VALUE!</v>
      </c>
      <c r="AH914" t="e">
        <v>#VALUE!</v>
      </c>
      <c r="AI914" t="e">
        <v>#VALUE!</v>
      </c>
      <c r="AJ914" t="e">
        <v>#VALUE!</v>
      </c>
      <c r="AK914" t="e">
        <v>#VALUE!</v>
      </c>
      <c r="AL914" t="s">
        <v>105</v>
      </c>
      <c r="AM914" t="e">
        <v>#VALUE!</v>
      </c>
    </row>
    <row r="915" spans="32:39" hidden="1">
      <c r="AF915" t="e">
        <v>#VALUE!</v>
      </c>
      <c r="AG915" t="e">
        <v>#VALUE!</v>
      </c>
      <c r="AH915" t="e">
        <v>#VALUE!</v>
      </c>
      <c r="AI915" t="e">
        <v>#VALUE!</v>
      </c>
      <c r="AJ915" t="e">
        <v>#VALUE!</v>
      </c>
      <c r="AK915" t="e">
        <v>#VALUE!</v>
      </c>
      <c r="AL915" t="s">
        <v>105</v>
      </c>
      <c r="AM915" t="e">
        <v>#VALUE!</v>
      </c>
    </row>
    <row r="916" spans="32:39" hidden="1">
      <c r="AF916" t="e">
        <v>#VALUE!</v>
      </c>
      <c r="AG916" t="e">
        <v>#VALUE!</v>
      </c>
      <c r="AH916" t="e">
        <v>#VALUE!</v>
      </c>
      <c r="AI916" t="e">
        <v>#VALUE!</v>
      </c>
      <c r="AJ916" t="e">
        <v>#VALUE!</v>
      </c>
      <c r="AK916" t="e">
        <v>#VALUE!</v>
      </c>
      <c r="AL916" t="s">
        <v>105</v>
      </c>
      <c r="AM916" t="e">
        <v>#VALUE!</v>
      </c>
    </row>
    <row r="917" spans="32:39" hidden="1">
      <c r="AF917" t="e">
        <v>#VALUE!</v>
      </c>
      <c r="AG917" t="e">
        <v>#VALUE!</v>
      </c>
      <c r="AH917" t="e">
        <v>#VALUE!</v>
      </c>
      <c r="AI917" t="e">
        <v>#VALUE!</v>
      </c>
      <c r="AJ917" t="e">
        <v>#VALUE!</v>
      </c>
      <c r="AK917" t="e">
        <v>#VALUE!</v>
      </c>
      <c r="AL917" t="s">
        <v>105</v>
      </c>
      <c r="AM917" t="e">
        <v>#VALUE!</v>
      </c>
    </row>
    <row r="918" spans="32:39" hidden="1">
      <c r="AF918" t="e">
        <v>#VALUE!</v>
      </c>
      <c r="AG918" t="e">
        <v>#VALUE!</v>
      </c>
      <c r="AH918" t="e">
        <v>#VALUE!</v>
      </c>
      <c r="AI918" t="e">
        <v>#VALUE!</v>
      </c>
      <c r="AJ918" t="e">
        <v>#VALUE!</v>
      </c>
      <c r="AK918" t="e">
        <v>#VALUE!</v>
      </c>
      <c r="AL918" t="s">
        <v>105</v>
      </c>
      <c r="AM918" t="e">
        <v>#VALUE!</v>
      </c>
    </row>
    <row r="919" spans="32:39" hidden="1">
      <c r="AF919" t="e">
        <v>#VALUE!</v>
      </c>
      <c r="AG919" t="e">
        <v>#VALUE!</v>
      </c>
      <c r="AH919" t="e">
        <v>#VALUE!</v>
      </c>
      <c r="AI919" t="e">
        <v>#VALUE!</v>
      </c>
      <c r="AJ919" t="e">
        <v>#VALUE!</v>
      </c>
      <c r="AK919" t="e">
        <v>#VALUE!</v>
      </c>
      <c r="AL919" t="s">
        <v>105</v>
      </c>
      <c r="AM919" t="e">
        <v>#VALUE!</v>
      </c>
    </row>
    <row r="920" spans="32:39" hidden="1">
      <c r="AF920" t="e">
        <v>#VALUE!</v>
      </c>
      <c r="AG920" t="e">
        <v>#VALUE!</v>
      </c>
      <c r="AH920" t="e">
        <v>#VALUE!</v>
      </c>
      <c r="AI920" t="e">
        <v>#VALUE!</v>
      </c>
      <c r="AJ920" t="e">
        <v>#VALUE!</v>
      </c>
      <c r="AK920" t="e">
        <v>#VALUE!</v>
      </c>
      <c r="AL920" t="s">
        <v>105</v>
      </c>
      <c r="AM920" t="e">
        <v>#VALUE!</v>
      </c>
    </row>
    <row r="921" spans="32:39" hidden="1">
      <c r="AF921" t="e">
        <v>#VALUE!</v>
      </c>
      <c r="AG921" t="e">
        <v>#VALUE!</v>
      </c>
      <c r="AH921" t="e">
        <v>#VALUE!</v>
      </c>
      <c r="AI921" t="e">
        <v>#VALUE!</v>
      </c>
      <c r="AJ921" t="e">
        <v>#VALUE!</v>
      </c>
      <c r="AK921" t="e">
        <v>#VALUE!</v>
      </c>
      <c r="AL921" t="s">
        <v>105</v>
      </c>
      <c r="AM921" t="e">
        <v>#VALUE!</v>
      </c>
    </row>
    <row r="922" spans="32:39" hidden="1">
      <c r="AF922" t="e">
        <v>#VALUE!</v>
      </c>
      <c r="AG922" t="e">
        <v>#VALUE!</v>
      </c>
      <c r="AH922" t="e">
        <v>#VALUE!</v>
      </c>
      <c r="AI922" t="e">
        <v>#VALUE!</v>
      </c>
      <c r="AJ922" t="e">
        <v>#VALUE!</v>
      </c>
      <c r="AK922" t="e">
        <v>#VALUE!</v>
      </c>
      <c r="AL922" t="s">
        <v>105</v>
      </c>
      <c r="AM922" t="e">
        <v>#VALUE!</v>
      </c>
    </row>
    <row r="923" spans="32:39" hidden="1">
      <c r="AF923" t="e">
        <v>#VALUE!</v>
      </c>
      <c r="AG923" t="e">
        <v>#VALUE!</v>
      </c>
      <c r="AH923" t="e">
        <v>#VALUE!</v>
      </c>
      <c r="AI923" t="e">
        <v>#VALUE!</v>
      </c>
      <c r="AJ923" t="e">
        <v>#VALUE!</v>
      </c>
      <c r="AK923" t="e">
        <v>#VALUE!</v>
      </c>
      <c r="AL923" t="s">
        <v>105</v>
      </c>
      <c r="AM923" t="e">
        <v>#VALUE!</v>
      </c>
    </row>
    <row r="924" spans="32:39" hidden="1">
      <c r="AF924" t="e">
        <v>#VALUE!</v>
      </c>
      <c r="AG924" t="e">
        <v>#VALUE!</v>
      </c>
      <c r="AH924" t="e">
        <v>#VALUE!</v>
      </c>
      <c r="AI924" t="e">
        <v>#VALUE!</v>
      </c>
      <c r="AJ924" t="e">
        <v>#VALUE!</v>
      </c>
      <c r="AK924" t="e">
        <v>#VALUE!</v>
      </c>
      <c r="AL924" t="s">
        <v>105</v>
      </c>
      <c r="AM924" t="e">
        <v>#VALUE!</v>
      </c>
    </row>
    <row r="925" spans="32:39" hidden="1">
      <c r="AF925" t="e">
        <v>#VALUE!</v>
      </c>
      <c r="AG925" t="e">
        <v>#VALUE!</v>
      </c>
      <c r="AH925" t="e">
        <v>#VALUE!</v>
      </c>
      <c r="AI925" t="e">
        <v>#VALUE!</v>
      </c>
      <c r="AJ925" t="e">
        <v>#VALUE!</v>
      </c>
      <c r="AK925" t="e">
        <v>#VALUE!</v>
      </c>
      <c r="AL925" t="s">
        <v>105</v>
      </c>
      <c r="AM925" t="e">
        <v>#VALUE!</v>
      </c>
    </row>
    <row r="926" spans="32:39" hidden="1">
      <c r="AF926" t="e">
        <v>#VALUE!</v>
      </c>
      <c r="AG926" t="e">
        <v>#VALUE!</v>
      </c>
      <c r="AH926" t="e">
        <v>#VALUE!</v>
      </c>
      <c r="AI926" t="e">
        <v>#VALUE!</v>
      </c>
      <c r="AJ926" t="e">
        <v>#VALUE!</v>
      </c>
      <c r="AK926" t="e">
        <v>#VALUE!</v>
      </c>
      <c r="AL926" t="s">
        <v>105</v>
      </c>
      <c r="AM926" t="e">
        <v>#VALUE!</v>
      </c>
    </row>
    <row r="927" spans="32:39" hidden="1">
      <c r="AF927" t="e">
        <v>#VALUE!</v>
      </c>
      <c r="AG927" t="e">
        <v>#VALUE!</v>
      </c>
      <c r="AH927" t="e">
        <v>#VALUE!</v>
      </c>
      <c r="AI927" t="e">
        <v>#VALUE!</v>
      </c>
      <c r="AJ927" t="e">
        <v>#VALUE!</v>
      </c>
      <c r="AK927" t="e">
        <v>#VALUE!</v>
      </c>
      <c r="AL927" t="s">
        <v>105</v>
      </c>
      <c r="AM927" t="e">
        <v>#VALUE!</v>
      </c>
    </row>
    <row r="928" spans="32:39" hidden="1">
      <c r="AF928" t="e">
        <v>#VALUE!</v>
      </c>
      <c r="AG928" t="e">
        <v>#VALUE!</v>
      </c>
      <c r="AH928" t="e">
        <v>#VALUE!</v>
      </c>
      <c r="AI928" t="e">
        <v>#VALUE!</v>
      </c>
      <c r="AJ928" t="e">
        <v>#VALUE!</v>
      </c>
      <c r="AK928" t="e">
        <v>#VALUE!</v>
      </c>
      <c r="AL928" t="s">
        <v>105</v>
      </c>
      <c r="AM928" t="e">
        <v>#VALUE!</v>
      </c>
    </row>
    <row r="929" spans="32:39" hidden="1">
      <c r="AF929" t="e">
        <v>#VALUE!</v>
      </c>
      <c r="AG929" t="e">
        <v>#VALUE!</v>
      </c>
      <c r="AH929" t="e">
        <v>#VALUE!</v>
      </c>
      <c r="AI929" t="e">
        <v>#VALUE!</v>
      </c>
      <c r="AJ929" t="e">
        <v>#VALUE!</v>
      </c>
      <c r="AK929" t="e">
        <v>#VALUE!</v>
      </c>
      <c r="AL929" t="s">
        <v>105</v>
      </c>
      <c r="AM929" t="e">
        <v>#VALUE!</v>
      </c>
    </row>
    <row r="930" spans="32:39" hidden="1">
      <c r="AF930" t="e">
        <v>#VALUE!</v>
      </c>
      <c r="AG930" t="e">
        <v>#VALUE!</v>
      </c>
      <c r="AH930" t="e">
        <v>#VALUE!</v>
      </c>
      <c r="AI930" t="e">
        <v>#VALUE!</v>
      </c>
      <c r="AJ930" t="e">
        <v>#VALUE!</v>
      </c>
      <c r="AK930" t="e">
        <v>#VALUE!</v>
      </c>
      <c r="AL930" t="s">
        <v>105</v>
      </c>
      <c r="AM930" t="e">
        <v>#VALUE!</v>
      </c>
    </row>
    <row r="931" spans="32:39" hidden="1">
      <c r="AF931" t="e">
        <v>#VALUE!</v>
      </c>
      <c r="AG931" t="e">
        <v>#VALUE!</v>
      </c>
      <c r="AH931" t="e">
        <v>#VALUE!</v>
      </c>
      <c r="AI931" t="e">
        <v>#VALUE!</v>
      </c>
      <c r="AJ931" t="e">
        <v>#VALUE!</v>
      </c>
      <c r="AK931" t="e">
        <v>#VALUE!</v>
      </c>
      <c r="AL931" t="s">
        <v>105</v>
      </c>
      <c r="AM931" t="e">
        <v>#VALUE!</v>
      </c>
    </row>
    <row r="932" spans="32:39" hidden="1">
      <c r="AF932" t="e">
        <v>#VALUE!</v>
      </c>
      <c r="AG932" t="e">
        <v>#VALUE!</v>
      </c>
      <c r="AH932" t="e">
        <v>#VALUE!</v>
      </c>
      <c r="AI932" t="e">
        <v>#VALUE!</v>
      </c>
      <c r="AJ932" t="e">
        <v>#VALUE!</v>
      </c>
      <c r="AK932" t="e">
        <v>#VALUE!</v>
      </c>
      <c r="AL932" t="s">
        <v>105</v>
      </c>
      <c r="AM932" t="e">
        <v>#VALUE!</v>
      </c>
    </row>
    <row r="933" spans="32:39" hidden="1">
      <c r="AF933" t="e">
        <v>#VALUE!</v>
      </c>
      <c r="AG933" t="e">
        <v>#VALUE!</v>
      </c>
      <c r="AH933" t="e">
        <v>#VALUE!</v>
      </c>
      <c r="AI933" t="e">
        <v>#VALUE!</v>
      </c>
      <c r="AJ933" t="e">
        <v>#VALUE!</v>
      </c>
      <c r="AK933" t="e">
        <v>#VALUE!</v>
      </c>
      <c r="AL933" t="s">
        <v>105</v>
      </c>
      <c r="AM933" t="e">
        <v>#VALUE!</v>
      </c>
    </row>
    <row r="934" spans="32:39" hidden="1">
      <c r="AF934" t="e">
        <v>#VALUE!</v>
      </c>
      <c r="AG934" t="e">
        <v>#VALUE!</v>
      </c>
      <c r="AH934" t="e">
        <v>#VALUE!</v>
      </c>
      <c r="AI934" t="e">
        <v>#VALUE!</v>
      </c>
      <c r="AJ934" t="e">
        <v>#VALUE!</v>
      </c>
      <c r="AK934" t="e">
        <v>#VALUE!</v>
      </c>
      <c r="AL934" t="s">
        <v>105</v>
      </c>
      <c r="AM934" t="e">
        <v>#VALUE!</v>
      </c>
    </row>
    <row r="935" spans="32:39" hidden="1">
      <c r="AF935" t="e">
        <v>#VALUE!</v>
      </c>
      <c r="AG935" t="e">
        <v>#VALUE!</v>
      </c>
      <c r="AH935" t="e">
        <v>#VALUE!</v>
      </c>
      <c r="AI935" t="e">
        <v>#VALUE!</v>
      </c>
      <c r="AJ935" t="e">
        <v>#VALUE!</v>
      </c>
      <c r="AK935" t="e">
        <v>#VALUE!</v>
      </c>
      <c r="AL935" t="s">
        <v>105</v>
      </c>
      <c r="AM935" t="e">
        <v>#VALUE!</v>
      </c>
    </row>
    <row r="936" spans="32:39" hidden="1">
      <c r="AF936" t="e">
        <v>#VALUE!</v>
      </c>
      <c r="AG936" t="e">
        <v>#VALUE!</v>
      </c>
      <c r="AH936" t="e">
        <v>#VALUE!</v>
      </c>
      <c r="AI936" t="e">
        <v>#VALUE!</v>
      </c>
      <c r="AJ936" t="e">
        <v>#VALUE!</v>
      </c>
      <c r="AK936" t="e">
        <v>#VALUE!</v>
      </c>
      <c r="AL936" t="s">
        <v>105</v>
      </c>
      <c r="AM936" t="e">
        <v>#VALUE!</v>
      </c>
    </row>
    <row r="937" spans="32:39" hidden="1">
      <c r="AF937" t="e">
        <v>#VALUE!</v>
      </c>
      <c r="AG937" t="e">
        <v>#VALUE!</v>
      </c>
      <c r="AH937" t="e">
        <v>#VALUE!</v>
      </c>
      <c r="AI937" t="e">
        <v>#VALUE!</v>
      </c>
      <c r="AJ937" t="e">
        <v>#VALUE!</v>
      </c>
      <c r="AK937" t="e">
        <v>#VALUE!</v>
      </c>
      <c r="AL937" t="s">
        <v>105</v>
      </c>
      <c r="AM937" t="e">
        <v>#VALUE!</v>
      </c>
    </row>
    <row r="938" spans="32:39" hidden="1">
      <c r="AF938" t="e">
        <v>#VALUE!</v>
      </c>
      <c r="AG938" t="e">
        <v>#VALUE!</v>
      </c>
      <c r="AH938" t="e">
        <v>#VALUE!</v>
      </c>
      <c r="AI938" t="e">
        <v>#VALUE!</v>
      </c>
      <c r="AJ938" t="e">
        <v>#VALUE!</v>
      </c>
      <c r="AK938" t="e">
        <v>#VALUE!</v>
      </c>
      <c r="AL938" t="s">
        <v>105</v>
      </c>
      <c r="AM938" t="e">
        <v>#VALUE!</v>
      </c>
    </row>
    <row r="939" spans="32:39" hidden="1">
      <c r="AF939" t="e">
        <v>#VALUE!</v>
      </c>
      <c r="AG939" t="e">
        <v>#VALUE!</v>
      </c>
      <c r="AH939" t="e">
        <v>#VALUE!</v>
      </c>
      <c r="AI939" t="e">
        <v>#VALUE!</v>
      </c>
      <c r="AJ939" t="e">
        <v>#VALUE!</v>
      </c>
      <c r="AK939" t="e">
        <v>#VALUE!</v>
      </c>
      <c r="AL939" t="s">
        <v>105</v>
      </c>
      <c r="AM939" t="e">
        <v>#VALUE!</v>
      </c>
    </row>
    <row r="940" spans="32:39" hidden="1">
      <c r="AF940" t="e">
        <v>#VALUE!</v>
      </c>
      <c r="AG940" t="e">
        <v>#VALUE!</v>
      </c>
      <c r="AH940" t="e">
        <v>#VALUE!</v>
      </c>
      <c r="AI940" t="e">
        <v>#VALUE!</v>
      </c>
      <c r="AJ940" t="e">
        <v>#VALUE!</v>
      </c>
      <c r="AK940" t="e">
        <v>#VALUE!</v>
      </c>
      <c r="AL940" t="s">
        <v>105</v>
      </c>
      <c r="AM940" t="e">
        <v>#VALUE!</v>
      </c>
    </row>
    <row r="941" spans="32:39" hidden="1">
      <c r="AF941" t="e">
        <v>#VALUE!</v>
      </c>
      <c r="AG941" t="e">
        <v>#VALUE!</v>
      </c>
      <c r="AH941" t="e">
        <v>#VALUE!</v>
      </c>
      <c r="AI941" t="e">
        <v>#VALUE!</v>
      </c>
      <c r="AJ941" t="e">
        <v>#VALUE!</v>
      </c>
      <c r="AK941" t="e">
        <v>#VALUE!</v>
      </c>
      <c r="AL941" t="s">
        <v>105</v>
      </c>
      <c r="AM941" t="e">
        <v>#VALUE!</v>
      </c>
    </row>
    <row r="942" spans="32:39" hidden="1">
      <c r="AF942" t="e">
        <v>#VALUE!</v>
      </c>
      <c r="AG942" t="e">
        <v>#VALUE!</v>
      </c>
      <c r="AH942" t="e">
        <v>#VALUE!</v>
      </c>
      <c r="AI942" t="e">
        <v>#VALUE!</v>
      </c>
      <c r="AJ942" t="e">
        <v>#VALUE!</v>
      </c>
      <c r="AK942" t="e">
        <v>#VALUE!</v>
      </c>
      <c r="AL942" t="s">
        <v>105</v>
      </c>
      <c r="AM942" t="e">
        <v>#VALUE!</v>
      </c>
    </row>
    <row r="943" spans="32:39" hidden="1">
      <c r="AF943" t="e">
        <v>#VALUE!</v>
      </c>
      <c r="AG943" t="e">
        <v>#VALUE!</v>
      </c>
      <c r="AH943" t="e">
        <v>#VALUE!</v>
      </c>
      <c r="AI943" t="e">
        <v>#VALUE!</v>
      </c>
      <c r="AJ943" t="e">
        <v>#VALUE!</v>
      </c>
      <c r="AK943" t="e">
        <v>#VALUE!</v>
      </c>
      <c r="AL943" t="s">
        <v>105</v>
      </c>
      <c r="AM943" t="e">
        <v>#VALUE!</v>
      </c>
    </row>
    <row r="944" spans="32:39" hidden="1">
      <c r="AF944" t="e">
        <v>#VALUE!</v>
      </c>
      <c r="AG944" t="e">
        <v>#VALUE!</v>
      </c>
      <c r="AH944" t="e">
        <v>#VALUE!</v>
      </c>
      <c r="AI944" t="e">
        <v>#VALUE!</v>
      </c>
      <c r="AJ944" t="e">
        <v>#VALUE!</v>
      </c>
      <c r="AK944" t="e">
        <v>#VALUE!</v>
      </c>
      <c r="AL944" t="s">
        <v>105</v>
      </c>
      <c r="AM944" t="e">
        <v>#VALUE!</v>
      </c>
    </row>
    <row r="945" spans="32:39" hidden="1">
      <c r="AF945" t="e">
        <v>#VALUE!</v>
      </c>
      <c r="AG945" t="e">
        <v>#VALUE!</v>
      </c>
      <c r="AH945" t="e">
        <v>#VALUE!</v>
      </c>
      <c r="AI945" t="e">
        <v>#VALUE!</v>
      </c>
      <c r="AJ945" t="e">
        <v>#VALUE!</v>
      </c>
      <c r="AK945" t="e">
        <v>#VALUE!</v>
      </c>
      <c r="AL945" t="s">
        <v>105</v>
      </c>
      <c r="AM945" t="e">
        <v>#VALUE!</v>
      </c>
    </row>
    <row r="946" spans="32:39" hidden="1">
      <c r="AF946" t="e">
        <v>#VALUE!</v>
      </c>
      <c r="AG946" t="e">
        <v>#VALUE!</v>
      </c>
      <c r="AH946" t="e">
        <v>#VALUE!</v>
      </c>
      <c r="AI946" t="e">
        <v>#VALUE!</v>
      </c>
      <c r="AJ946" t="e">
        <v>#VALUE!</v>
      </c>
      <c r="AK946" t="e">
        <v>#VALUE!</v>
      </c>
      <c r="AL946" t="s">
        <v>105</v>
      </c>
      <c r="AM946" t="e">
        <v>#VALUE!</v>
      </c>
    </row>
    <row r="947" spans="32:39" hidden="1">
      <c r="AF947" t="e">
        <v>#VALUE!</v>
      </c>
      <c r="AG947" t="e">
        <v>#VALUE!</v>
      </c>
      <c r="AH947" t="e">
        <v>#VALUE!</v>
      </c>
      <c r="AI947" t="e">
        <v>#VALUE!</v>
      </c>
      <c r="AJ947" t="e">
        <v>#VALUE!</v>
      </c>
      <c r="AK947" t="e">
        <v>#VALUE!</v>
      </c>
      <c r="AL947" t="s">
        <v>105</v>
      </c>
      <c r="AM947" t="e">
        <v>#VALUE!</v>
      </c>
    </row>
    <row r="948" spans="32:39" hidden="1">
      <c r="AF948" t="e">
        <v>#VALUE!</v>
      </c>
      <c r="AG948" t="e">
        <v>#VALUE!</v>
      </c>
      <c r="AH948" t="e">
        <v>#VALUE!</v>
      </c>
      <c r="AI948" t="e">
        <v>#VALUE!</v>
      </c>
      <c r="AJ948" t="e">
        <v>#VALUE!</v>
      </c>
      <c r="AK948" t="e">
        <v>#VALUE!</v>
      </c>
      <c r="AL948" t="s">
        <v>105</v>
      </c>
      <c r="AM948" t="e">
        <v>#VALUE!</v>
      </c>
    </row>
    <row r="949" spans="32:39" hidden="1">
      <c r="AF949" t="e">
        <v>#VALUE!</v>
      </c>
      <c r="AG949" t="e">
        <v>#VALUE!</v>
      </c>
      <c r="AH949" t="e">
        <v>#VALUE!</v>
      </c>
      <c r="AI949" t="e">
        <v>#VALUE!</v>
      </c>
      <c r="AJ949" t="e">
        <v>#VALUE!</v>
      </c>
      <c r="AK949" t="e">
        <v>#VALUE!</v>
      </c>
      <c r="AL949" t="s">
        <v>105</v>
      </c>
      <c r="AM949" t="e">
        <v>#VALUE!</v>
      </c>
    </row>
    <row r="950" spans="32:39" hidden="1">
      <c r="AF950" t="e">
        <v>#VALUE!</v>
      </c>
      <c r="AG950" t="e">
        <v>#VALUE!</v>
      </c>
      <c r="AH950" t="e">
        <v>#VALUE!</v>
      </c>
      <c r="AI950" t="e">
        <v>#VALUE!</v>
      </c>
      <c r="AJ950" t="e">
        <v>#VALUE!</v>
      </c>
      <c r="AK950" t="e">
        <v>#VALUE!</v>
      </c>
      <c r="AL950" t="s">
        <v>105</v>
      </c>
      <c r="AM950" t="e">
        <v>#VALUE!</v>
      </c>
    </row>
    <row r="951" spans="32:39" hidden="1">
      <c r="AF951" t="e">
        <v>#VALUE!</v>
      </c>
      <c r="AG951" t="e">
        <v>#VALUE!</v>
      </c>
      <c r="AH951" t="e">
        <v>#VALUE!</v>
      </c>
      <c r="AI951" t="e">
        <v>#VALUE!</v>
      </c>
      <c r="AJ951" t="e">
        <v>#VALUE!</v>
      </c>
      <c r="AK951" t="e">
        <v>#VALUE!</v>
      </c>
      <c r="AL951" t="s">
        <v>105</v>
      </c>
      <c r="AM951" t="e">
        <v>#VALUE!</v>
      </c>
    </row>
    <row r="952" spans="32:39" hidden="1">
      <c r="AF952" t="e">
        <v>#VALUE!</v>
      </c>
      <c r="AG952" t="e">
        <v>#VALUE!</v>
      </c>
      <c r="AH952" t="e">
        <v>#VALUE!</v>
      </c>
      <c r="AI952" t="e">
        <v>#VALUE!</v>
      </c>
      <c r="AJ952" t="e">
        <v>#VALUE!</v>
      </c>
      <c r="AK952" t="e">
        <v>#VALUE!</v>
      </c>
      <c r="AL952" t="s">
        <v>105</v>
      </c>
      <c r="AM952" t="e">
        <v>#VALUE!</v>
      </c>
    </row>
    <row r="953" spans="32:39" hidden="1">
      <c r="AF953" t="e">
        <v>#VALUE!</v>
      </c>
      <c r="AG953" t="e">
        <v>#VALUE!</v>
      </c>
      <c r="AH953" t="e">
        <v>#VALUE!</v>
      </c>
      <c r="AI953" t="e">
        <v>#VALUE!</v>
      </c>
      <c r="AJ953" t="e">
        <v>#VALUE!</v>
      </c>
      <c r="AK953" t="e">
        <v>#VALUE!</v>
      </c>
      <c r="AL953" t="s">
        <v>105</v>
      </c>
      <c r="AM953" t="e">
        <v>#VALUE!</v>
      </c>
    </row>
    <row r="954" spans="32:39" hidden="1">
      <c r="AF954" t="e">
        <v>#VALUE!</v>
      </c>
      <c r="AG954" t="e">
        <v>#VALUE!</v>
      </c>
      <c r="AH954" t="e">
        <v>#VALUE!</v>
      </c>
      <c r="AI954" t="e">
        <v>#VALUE!</v>
      </c>
      <c r="AJ954" t="e">
        <v>#VALUE!</v>
      </c>
      <c r="AK954" t="e">
        <v>#VALUE!</v>
      </c>
      <c r="AL954" t="s">
        <v>105</v>
      </c>
      <c r="AM954" t="e">
        <v>#VALUE!</v>
      </c>
    </row>
    <row r="955" spans="32:39" hidden="1">
      <c r="AF955" t="e">
        <v>#VALUE!</v>
      </c>
      <c r="AG955" t="e">
        <v>#VALUE!</v>
      </c>
      <c r="AH955" t="e">
        <v>#VALUE!</v>
      </c>
      <c r="AI955" t="e">
        <v>#VALUE!</v>
      </c>
      <c r="AJ955" t="e">
        <v>#VALUE!</v>
      </c>
      <c r="AK955" t="e">
        <v>#VALUE!</v>
      </c>
      <c r="AL955" t="s">
        <v>105</v>
      </c>
      <c r="AM955" t="e">
        <v>#VALUE!</v>
      </c>
    </row>
    <row r="956" spans="32:39" hidden="1">
      <c r="AF956" t="e">
        <v>#VALUE!</v>
      </c>
      <c r="AG956" t="e">
        <v>#VALUE!</v>
      </c>
      <c r="AH956" t="e">
        <v>#VALUE!</v>
      </c>
      <c r="AI956" t="e">
        <v>#VALUE!</v>
      </c>
      <c r="AJ956" t="e">
        <v>#VALUE!</v>
      </c>
      <c r="AK956" t="e">
        <v>#VALUE!</v>
      </c>
      <c r="AL956" t="s">
        <v>105</v>
      </c>
      <c r="AM956" t="e">
        <v>#VALUE!</v>
      </c>
    </row>
    <row r="957" spans="32:39" hidden="1">
      <c r="AF957" t="e">
        <v>#VALUE!</v>
      </c>
      <c r="AG957" t="e">
        <v>#VALUE!</v>
      </c>
      <c r="AH957" t="e">
        <v>#VALUE!</v>
      </c>
      <c r="AI957" t="e">
        <v>#VALUE!</v>
      </c>
      <c r="AJ957" t="e">
        <v>#VALUE!</v>
      </c>
      <c r="AK957" t="e">
        <v>#VALUE!</v>
      </c>
      <c r="AL957" t="s">
        <v>105</v>
      </c>
      <c r="AM957" t="e">
        <v>#VALUE!</v>
      </c>
    </row>
    <row r="958" spans="32:39" hidden="1">
      <c r="AF958" t="e">
        <v>#VALUE!</v>
      </c>
      <c r="AG958" t="e">
        <v>#VALUE!</v>
      </c>
      <c r="AH958" t="e">
        <v>#VALUE!</v>
      </c>
      <c r="AI958" t="e">
        <v>#VALUE!</v>
      </c>
      <c r="AJ958" t="e">
        <v>#VALUE!</v>
      </c>
      <c r="AK958" t="e">
        <v>#VALUE!</v>
      </c>
      <c r="AL958" t="s">
        <v>105</v>
      </c>
      <c r="AM958" t="e">
        <v>#VALUE!</v>
      </c>
    </row>
    <row r="959" spans="32:39" hidden="1">
      <c r="AF959" t="e">
        <v>#VALUE!</v>
      </c>
      <c r="AG959" t="e">
        <v>#VALUE!</v>
      </c>
      <c r="AH959" t="e">
        <v>#VALUE!</v>
      </c>
      <c r="AI959" t="e">
        <v>#VALUE!</v>
      </c>
      <c r="AJ959" t="e">
        <v>#VALUE!</v>
      </c>
      <c r="AK959" t="e">
        <v>#VALUE!</v>
      </c>
      <c r="AL959" t="s">
        <v>105</v>
      </c>
      <c r="AM959" t="e">
        <v>#VALUE!</v>
      </c>
    </row>
    <row r="960" spans="32:39" hidden="1">
      <c r="AF960" t="e">
        <v>#VALUE!</v>
      </c>
      <c r="AG960" t="e">
        <v>#VALUE!</v>
      </c>
      <c r="AH960" t="e">
        <v>#VALUE!</v>
      </c>
      <c r="AI960" t="e">
        <v>#VALUE!</v>
      </c>
      <c r="AJ960" t="e">
        <v>#VALUE!</v>
      </c>
      <c r="AK960" t="e">
        <v>#VALUE!</v>
      </c>
      <c r="AL960" t="s">
        <v>105</v>
      </c>
      <c r="AM960" t="e">
        <v>#VALUE!</v>
      </c>
    </row>
    <row r="961" spans="32:39" hidden="1">
      <c r="AF961" t="e">
        <v>#VALUE!</v>
      </c>
      <c r="AG961" t="e">
        <v>#VALUE!</v>
      </c>
      <c r="AH961" t="e">
        <v>#VALUE!</v>
      </c>
      <c r="AI961" t="e">
        <v>#VALUE!</v>
      </c>
      <c r="AJ961" t="e">
        <v>#VALUE!</v>
      </c>
      <c r="AK961" t="e">
        <v>#VALUE!</v>
      </c>
      <c r="AL961" t="s">
        <v>105</v>
      </c>
      <c r="AM961" t="e">
        <v>#VALUE!</v>
      </c>
    </row>
    <row r="962" spans="32:39" hidden="1">
      <c r="AF962" t="e">
        <v>#VALUE!</v>
      </c>
      <c r="AG962" t="e">
        <v>#VALUE!</v>
      </c>
      <c r="AH962" t="e">
        <v>#VALUE!</v>
      </c>
      <c r="AI962" t="e">
        <v>#VALUE!</v>
      </c>
      <c r="AJ962" t="e">
        <v>#VALUE!</v>
      </c>
      <c r="AK962" t="e">
        <v>#VALUE!</v>
      </c>
      <c r="AL962" t="s">
        <v>105</v>
      </c>
      <c r="AM962" t="e">
        <v>#VALUE!</v>
      </c>
    </row>
    <row r="963" spans="32:39" hidden="1">
      <c r="AF963" t="e">
        <v>#VALUE!</v>
      </c>
      <c r="AG963" t="e">
        <v>#VALUE!</v>
      </c>
      <c r="AH963" t="e">
        <v>#VALUE!</v>
      </c>
      <c r="AI963" t="e">
        <v>#VALUE!</v>
      </c>
      <c r="AJ963" t="e">
        <v>#VALUE!</v>
      </c>
      <c r="AK963" t="e">
        <v>#VALUE!</v>
      </c>
      <c r="AL963" t="s">
        <v>105</v>
      </c>
      <c r="AM963" t="e">
        <v>#VALUE!</v>
      </c>
    </row>
    <row r="964" spans="32:39" hidden="1">
      <c r="AF964" t="e">
        <v>#VALUE!</v>
      </c>
      <c r="AG964" t="e">
        <v>#VALUE!</v>
      </c>
      <c r="AH964" t="e">
        <v>#VALUE!</v>
      </c>
      <c r="AI964" t="e">
        <v>#VALUE!</v>
      </c>
      <c r="AJ964" t="e">
        <v>#VALUE!</v>
      </c>
      <c r="AK964" t="e">
        <v>#VALUE!</v>
      </c>
      <c r="AL964" t="s">
        <v>105</v>
      </c>
      <c r="AM964" t="e">
        <v>#VALUE!</v>
      </c>
    </row>
    <row r="965" spans="32:39" hidden="1">
      <c r="AF965" t="e">
        <v>#VALUE!</v>
      </c>
      <c r="AG965" t="e">
        <v>#VALUE!</v>
      </c>
      <c r="AH965" t="e">
        <v>#VALUE!</v>
      </c>
      <c r="AI965" t="e">
        <v>#VALUE!</v>
      </c>
      <c r="AJ965" t="e">
        <v>#VALUE!</v>
      </c>
      <c r="AK965" t="e">
        <v>#VALUE!</v>
      </c>
      <c r="AL965" t="s">
        <v>105</v>
      </c>
      <c r="AM965" t="e">
        <v>#VALUE!</v>
      </c>
    </row>
    <row r="966" spans="32:39" hidden="1">
      <c r="AF966" t="e">
        <v>#VALUE!</v>
      </c>
      <c r="AG966" t="e">
        <v>#VALUE!</v>
      </c>
      <c r="AH966" t="e">
        <v>#VALUE!</v>
      </c>
      <c r="AI966" t="e">
        <v>#VALUE!</v>
      </c>
      <c r="AJ966" t="e">
        <v>#VALUE!</v>
      </c>
      <c r="AK966" t="e">
        <v>#VALUE!</v>
      </c>
      <c r="AL966" t="s">
        <v>105</v>
      </c>
      <c r="AM966" t="e">
        <v>#VALUE!</v>
      </c>
    </row>
    <row r="967" spans="32:39" hidden="1">
      <c r="AF967" t="e">
        <v>#VALUE!</v>
      </c>
      <c r="AG967" t="e">
        <v>#VALUE!</v>
      </c>
      <c r="AH967" t="e">
        <v>#VALUE!</v>
      </c>
      <c r="AI967" t="e">
        <v>#VALUE!</v>
      </c>
      <c r="AJ967" t="e">
        <v>#VALUE!</v>
      </c>
      <c r="AK967" t="e">
        <v>#VALUE!</v>
      </c>
      <c r="AL967" t="s">
        <v>105</v>
      </c>
      <c r="AM967" t="e">
        <v>#VALUE!</v>
      </c>
    </row>
    <row r="968" spans="32:39" hidden="1">
      <c r="AF968" t="e">
        <v>#VALUE!</v>
      </c>
      <c r="AG968" t="e">
        <v>#VALUE!</v>
      </c>
      <c r="AH968" t="e">
        <v>#VALUE!</v>
      </c>
      <c r="AI968" t="e">
        <v>#VALUE!</v>
      </c>
      <c r="AJ968" t="e">
        <v>#VALUE!</v>
      </c>
      <c r="AK968" t="e">
        <v>#VALUE!</v>
      </c>
      <c r="AL968" t="s">
        <v>105</v>
      </c>
      <c r="AM968" t="e">
        <v>#VALUE!</v>
      </c>
    </row>
    <row r="969" spans="32:39" hidden="1">
      <c r="AF969" t="e">
        <v>#VALUE!</v>
      </c>
      <c r="AG969" t="e">
        <v>#VALUE!</v>
      </c>
      <c r="AH969" t="e">
        <v>#VALUE!</v>
      </c>
      <c r="AI969" t="e">
        <v>#VALUE!</v>
      </c>
      <c r="AJ969" t="e">
        <v>#VALUE!</v>
      </c>
      <c r="AK969" t="e">
        <v>#VALUE!</v>
      </c>
      <c r="AL969" t="s">
        <v>105</v>
      </c>
      <c r="AM969" t="e">
        <v>#VALUE!</v>
      </c>
    </row>
    <row r="970" spans="32:39" hidden="1">
      <c r="AF970" t="e">
        <v>#VALUE!</v>
      </c>
      <c r="AG970" t="e">
        <v>#VALUE!</v>
      </c>
      <c r="AH970" t="e">
        <v>#VALUE!</v>
      </c>
      <c r="AI970" t="e">
        <v>#VALUE!</v>
      </c>
      <c r="AJ970" t="e">
        <v>#VALUE!</v>
      </c>
      <c r="AK970" t="e">
        <v>#VALUE!</v>
      </c>
      <c r="AL970" t="s">
        <v>105</v>
      </c>
      <c r="AM970" t="e">
        <v>#VALUE!</v>
      </c>
    </row>
    <row r="971" spans="32:39" hidden="1">
      <c r="AF971" t="e">
        <v>#VALUE!</v>
      </c>
      <c r="AG971" t="e">
        <v>#VALUE!</v>
      </c>
      <c r="AH971" t="e">
        <v>#VALUE!</v>
      </c>
      <c r="AI971" t="e">
        <v>#VALUE!</v>
      </c>
      <c r="AJ971" t="e">
        <v>#VALUE!</v>
      </c>
      <c r="AK971" t="e">
        <v>#VALUE!</v>
      </c>
      <c r="AL971" t="s">
        <v>105</v>
      </c>
      <c r="AM971" t="e">
        <v>#VALUE!</v>
      </c>
    </row>
    <row r="972" spans="32:39" hidden="1">
      <c r="AF972" t="e">
        <v>#VALUE!</v>
      </c>
      <c r="AG972" t="e">
        <v>#VALUE!</v>
      </c>
      <c r="AH972" t="e">
        <v>#VALUE!</v>
      </c>
      <c r="AI972" t="e">
        <v>#VALUE!</v>
      </c>
      <c r="AJ972" t="e">
        <v>#VALUE!</v>
      </c>
      <c r="AK972" t="e">
        <v>#VALUE!</v>
      </c>
      <c r="AL972" t="s">
        <v>105</v>
      </c>
      <c r="AM972" t="e">
        <v>#VALUE!</v>
      </c>
    </row>
    <row r="973" spans="32:39" hidden="1">
      <c r="AF973" t="e">
        <v>#VALUE!</v>
      </c>
      <c r="AG973" t="e">
        <v>#VALUE!</v>
      </c>
      <c r="AH973" t="e">
        <v>#VALUE!</v>
      </c>
      <c r="AI973" t="e">
        <v>#VALUE!</v>
      </c>
      <c r="AJ973" t="e">
        <v>#VALUE!</v>
      </c>
      <c r="AK973" t="e">
        <v>#VALUE!</v>
      </c>
      <c r="AL973" t="s">
        <v>105</v>
      </c>
      <c r="AM973" t="e">
        <v>#VALUE!</v>
      </c>
    </row>
    <row r="974" spans="32:39" hidden="1">
      <c r="AF974" t="e">
        <v>#VALUE!</v>
      </c>
      <c r="AG974" t="e">
        <v>#VALUE!</v>
      </c>
      <c r="AH974" t="e">
        <v>#VALUE!</v>
      </c>
      <c r="AI974" t="e">
        <v>#VALUE!</v>
      </c>
      <c r="AJ974" t="e">
        <v>#VALUE!</v>
      </c>
      <c r="AK974" t="e">
        <v>#VALUE!</v>
      </c>
      <c r="AL974" t="s">
        <v>105</v>
      </c>
      <c r="AM974" t="e">
        <v>#VALUE!</v>
      </c>
    </row>
    <row r="975" spans="32:39" hidden="1">
      <c r="AF975" t="e">
        <v>#VALUE!</v>
      </c>
      <c r="AG975" t="e">
        <v>#VALUE!</v>
      </c>
      <c r="AH975" t="e">
        <v>#VALUE!</v>
      </c>
      <c r="AI975" t="e">
        <v>#VALUE!</v>
      </c>
      <c r="AJ975" t="e">
        <v>#VALUE!</v>
      </c>
      <c r="AK975" t="e">
        <v>#VALUE!</v>
      </c>
      <c r="AL975" t="s">
        <v>105</v>
      </c>
      <c r="AM975" t="e">
        <v>#VALUE!</v>
      </c>
    </row>
    <row r="976" spans="32:39" hidden="1">
      <c r="AF976" t="e">
        <v>#VALUE!</v>
      </c>
      <c r="AG976" t="e">
        <v>#VALUE!</v>
      </c>
      <c r="AH976" t="e">
        <v>#VALUE!</v>
      </c>
      <c r="AI976" t="e">
        <v>#VALUE!</v>
      </c>
      <c r="AJ976" t="e">
        <v>#VALUE!</v>
      </c>
      <c r="AK976" t="e">
        <v>#VALUE!</v>
      </c>
      <c r="AL976" t="s">
        <v>105</v>
      </c>
      <c r="AM976" t="e">
        <v>#VALUE!</v>
      </c>
    </row>
    <row r="977" spans="32:39" hidden="1">
      <c r="AF977" t="e">
        <v>#VALUE!</v>
      </c>
      <c r="AG977" t="e">
        <v>#VALUE!</v>
      </c>
      <c r="AH977" t="e">
        <v>#VALUE!</v>
      </c>
      <c r="AI977" t="e">
        <v>#VALUE!</v>
      </c>
      <c r="AJ977" t="e">
        <v>#VALUE!</v>
      </c>
      <c r="AK977" t="e">
        <v>#VALUE!</v>
      </c>
      <c r="AL977" t="s">
        <v>105</v>
      </c>
      <c r="AM977" t="e">
        <v>#VALUE!</v>
      </c>
    </row>
    <row r="978" spans="32:39" hidden="1">
      <c r="AF978" t="e">
        <v>#VALUE!</v>
      </c>
      <c r="AG978" t="e">
        <v>#VALUE!</v>
      </c>
      <c r="AH978" t="e">
        <v>#VALUE!</v>
      </c>
      <c r="AI978" t="e">
        <v>#VALUE!</v>
      </c>
      <c r="AJ978" t="e">
        <v>#VALUE!</v>
      </c>
      <c r="AK978" t="e">
        <v>#VALUE!</v>
      </c>
      <c r="AL978" t="s">
        <v>105</v>
      </c>
      <c r="AM978" t="e">
        <v>#VALUE!</v>
      </c>
    </row>
    <row r="979" spans="32:39" hidden="1">
      <c r="AF979" t="e">
        <v>#VALUE!</v>
      </c>
      <c r="AG979" t="e">
        <v>#VALUE!</v>
      </c>
      <c r="AH979" t="e">
        <v>#VALUE!</v>
      </c>
      <c r="AI979" t="e">
        <v>#VALUE!</v>
      </c>
      <c r="AJ979" t="e">
        <v>#VALUE!</v>
      </c>
      <c r="AK979" t="e">
        <v>#VALUE!</v>
      </c>
      <c r="AL979" t="s">
        <v>105</v>
      </c>
      <c r="AM979" t="e">
        <v>#VALUE!</v>
      </c>
    </row>
    <row r="980" spans="32:39" hidden="1">
      <c r="AF980" t="e">
        <v>#VALUE!</v>
      </c>
      <c r="AG980" t="e">
        <v>#VALUE!</v>
      </c>
      <c r="AH980" t="e">
        <v>#VALUE!</v>
      </c>
      <c r="AI980" t="e">
        <v>#VALUE!</v>
      </c>
      <c r="AJ980" t="e">
        <v>#VALUE!</v>
      </c>
      <c r="AK980" t="e">
        <v>#VALUE!</v>
      </c>
      <c r="AL980" t="s">
        <v>105</v>
      </c>
      <c r="AM980" t="e">
        <v>#VALUE!</v>
      </c>
    </row>
    <row r="981" spans="32:39" hidden="1">
      <c r="AF981" t="e">
        <v>#VALUE!</v>
      </c>
      <c r="AG981" t="e">
        <v>#VALUE!</v>
      </c>
      <c r="AH981" t="e">
        <v>#VALUE!</v>
      </c>
      <c r="AI981" t="e">
        <v>#VALUE!</v>
      </c>
      <c r="AJ981" t="e">
        <v>#VALUE!</v>
      </c>
      <c r="AK981" t="e">
        <v>#VALUE!</v>
      </c>
      <c r="AL981" t="s">
        <v>105</v>
      </c>
      <c r="AM981" t="e">
        <v>#VALUE!</v>
      </c>
    </row>
    <row r="982" spans="32:39" hidden="1">
      <c r="AF982" t="e">
        <v>#VALUE!</v>
      </c>
      <c r="AG982" t="e">
        <v>#VALUE!</v>
      </c>
      <c r="AH982" t="e">
        <v>#VALUE!</v>
      </c>
      <c r="AI982" t="e">
        <v>#VALUE!</v>
      </c>
      <c r="AJ982" t="e">
        <v>#VALUE!</v>
      </c>
      <c r="AK982" t="e">
        <v>#VALUE!</v>
      </c>
      <c r="AL982" t="s">
        <v>105</v>
      </c>
      <c r="AM982" t="e">
        <v>#VALUE!</v>
      </c>
    </row>
    <row r="983" spans="32:39" hidden="1">
      <c r="AF983" t="e">
        <v>#VALUE!</v>
      </c>
      <c r="AG983" t="e">
        <v>#VALUE!</v>
      </c>
      <c r="AH983" t="e">
        <v>#VALUE!</v>
      </c>
      <c r="AI983" t="e">
        <v>#VALUE!</v>
      </c>
      <c r="AJ983" t="e">
        <v>#VALUE!</v>
      </c>
      <c r="AK983" t="e">
        <v>#VALUE!</v>
      </c>
      <c r="AL983" t="s">
        <v>105</v>
      </c>
      <c r="AM983" t="e">
        <v>#VALUE!</v>
      </c>
    </row>
    <row r="984" spans="32:39" hidden="1">
      <c r="AF984" t="e">
        <v>#VALUE!</v>
      </c>
      <c r="AG984" t="e">
        <v>#VALUE!</v>
      </c>
      <c r="AH984" t="e">
        <v>#VALUE!</v>
      </c>
      <c r="AI984" t="e">
        <v>#VALUE!</v>
      </c>
      <c r="AJ984" t="e">
        <v>#VALUE!</v>
      </c>
      <c r="AK984" t="e">
        <v>#VALUE!</v>
      </c>
      <c r="AL984" t="s">
        <v>105</v>
      </c>
      <c r="AM984" t="e">
        <v>#VALUE!</v>
      </c>
    </row>
    <row r="985" spans="32:39" hidden="1">
      <c r="AF985" t="e">
        <v>#VALUE!</v>
      </c>
      <c r="AG985" t="e">
        <v>#VALUE!</v>
      </c>
      <c r="AH985" t="e">
        <v>#VALUE!</v>
      </c>
      <c r="AI985" t="e">
        <v>#VALUE!</v>
      </c>
      <c r="AJ985" t="e">
        <v>#VALUE!</v>
      </c>
      <c r="AK985" t="e">
        <v>#VALUE!</v>
      </c>
      <c r="AL985" t="s">
        <v>105</v>
      </c>
      <c r="AM985" t="e">
        <v>#VALUE!</v>
      </c>
    </row>
    <row r="986" spans="32:39" hidden="1">
      <c r="AF986" t="e">
        <v>#VALUE!</v>
      </c>
      <c r="AG986" t="e">
        <v>#VALUE!</v>
      </c>
      <c r="AH986" t="e">
        <v>#VALUE!</v>
      </c>
      <c r="AI986" t="e">
        <v>#VALUE!</v>
      </c>
      <c r="AJ986" t="e">
        <v>#VALUE!</v>
      </c>
      <c r="AK986" t="e">
        <v>#VALUE!</v>
      </c>
      <c r="AL986" t="s">
        <v>105</v>
      </c>
      <c r="AM986" t="e">
        <v>#VALUE!</v>
      </c>
    </row>
    <row r="987" spans="32:39" hidden="1">
      <c r="AF987" t="e">
        <v>#VALUE!</v>
      </c>
      <c r="AG987" t="e">
        <v>#VALUE!</v>
      </c>
      <c r="AH987" t="e">
        <v>#VALUE!</v>
      </c>
      <c r="AI987" t="e">
        <v>#VALUE!</v>
      </c>
      <c r="AJ987" t="e">
        <v>#VALUE!</v>
      </c>
      <c r="AK987" t="e">
        <v>#VALUE!</v>
      </c>
      <c r="AL987" t="s">
        <v>105</v>
      </c>
      <c r="AM987" t="e">
        <v>#VALUE!</v>
      </c>
    </row>
    <row r="988" spans="32:39" hidden="1">
      <c r="AF988" t="e">
        <v>#VALUE!</v>
      </c>
      <c r="AG988" t="e">
        <v>#VALUE!</v>
      </c>
      <c r="AH988" t="e">
        <v>#VALUE!</v>
      </c>
      <c r="AI988" t="e">
        <v>#VALUE!</v>
      </c>
      <c r="AJ988" t="e">
        <v>#VALUE!</v>
      </c>
      <c r="AK988" t="e">
        <v>#VALUE!</v>
      </c>
      <c r="AL988" t="s">
        <v>105</v>
      </c>
      <c r="AM988" t="e">
        <v>#VALUE!</v>
      </c>
    </row>
    <row r="989" spans="32:39" hidden="1">
      <c r="AF989" t="e">
        <v>#VALUE!</v>
      </c>
      <c r="AG989" t="e">
        <v>#VALUE!</v>
      </c>
      <c r="AH989" t="e">
        <v>#VALUE!</v>
      </c>
      <c r="AI989" t="e">
        <v>#VALUE!</v>
      </c>
      <c r="AJ989" t="e">
        <v>#VALUE!</v>
      </c>
      <c r="AK989" t="e">
        <v>#VALUE!</v>
      </c>
      <c r="AL989" t="s">
        <v>105</v>
      </c>
      <c r="AM989" t="e">
        <v>#VALUE!</v>
      </c>
    </row>
    <row r="990" spans="32:39" hidden="1">
      <c r="AF990" t="e">
        <v>#VALUE!</v>
      </c>
      <c r="AG990" t="e">
        <v>#VALUE!</v>
      </c>
      <c r="AH990" t="e">
        <v>#VALUE!</v>
      </c>
      <c r="AI990" t="e">
        <v>#VALUE!</v>
      </c>
      <c r="AJ990" t="e">
        <v>#VALUE!</v>
      </c>
      <c r="AK990" t="e">
        <v>#VALUE!</v>
      </c>
      <c r="AL990" t="s">
        <v>105</v>
      </c>
      <c r="AM990" t="e">
        <v>#VALUE!</v>
      </c>
    </row>
    <row r="991" spans="32:39" hidden="1">
      <c r="AF991" t="e">
        <v>#VALUE!</v>
      </c>
      <c r="AG991" t="e">
        <v>#VALUE!</v>
      </c>
      <c r="AH991" t="e">
        <v>#VALUE!</v>
      </c>
      <c r="AI991" t="e">
        <v>#VALUE!</v>
      </c>
      <c r="AJ991" t="e">
        <v>#VALUE!</v>
      </c>
      <c r="AK991" t="e">
        <v>#VALUE!</v>
      </c>
      <c r="AL991" t="s">
        <v>105</v>
      </c>
      <c r="AM991" t="e">
        <v>#VALUE!</v>
      </c>
    </row>
    <row r="992" spans="32:39" hidden="1">
      <c r="AF992" t="e">
        <v>#VALUE!</v>
      </c>
      <c r="AG992" t="e">
        <v>#VALUE!</v>
      </c>
      <c r="AH992" t="e">
        <v>#VALUE!</v>
      </c>
      <c r="AI992" t="e">
        <v>#VALUE!</v>
      </c>
      <c r="AJ992" t="e">
        <v>#VALUE!</v>
      </c>
      <c r="AK992" t="e">
        <v>#VALUE!</v>
      </c>
      <c r="AL992" t="s">
        <v>105</v>
      </c>
      <c r="AM992" t="e">
        <v>#VALUE!</v>
      </c>
    </row>
    <row r="993" spans="32:39" hidden="1">
      <c r="AF993" t="e">
        <v>#VALUE!</v>
      </c>
      <c r="AG993" t="e">
        <v>#VALUE!</v>
      </c>
      <c r="AH993" t="e">
        <v>#VALUE!</v>
      </c>
      <c r="AI993" t="e">
        <v>#VALUE!</v>
      </c>
      <c r="AJ993" t="e">
        <v>#VALUE!</v>
      </c>
      <c r="AK993" t="e">
        <v>#VALUE!</v>
      </c>
      <c r="AL993" t="s">
        <v>105</v>
      </c>
      <c r="AM993" t="e">
        <v>#VALUE!</v>
      </c>
    </row>
    <row r="994" spans="32:39" hidden="1">
      <c r="AF994" t="e">
        <v>#VALUE!</v>
      </c>
      <c r="AG994" t="e">
        <v>#VALUE!</v>
      </c>
      <c r="AH994" t="e">
        <v>#VALUE!</v>
      </c>
      <c r="AI994" t="e">
        <v>#VALUE!</v>
      </c>
      <c r="AJ994" t="e">
        <v>#VALUE!</v>
      </c>
      <c r="AK994" t="e">
        <v>#VALUE!</v>
      </c>
      <c r="AL994" t="s">
        <v>105</v>
      </c>
      <c r="AM994" t="e">
        <v>#VALUE!</v>
      </c>
    </row>
    <row r="995" spans="32:39" hidden="1">
      <c r="AF995" t="e">
        <v>#VALUE!</v>
      </c>
      <c r="AG995" t="e">
        <v>#VALUE!</v>
      </c>
      <c r="AH995" t="e">
        <v>#VALUE!</v>
      </c>
      <c r="AI995" t="e">
        <v>#VALUE!</v>
      </c>
      <c r="AJ995" t="e">
        <v>#VALUE!</v>
      </c>
      <c r="AK995" t="e">
        <v>#VALUE!</v>
      </c>
      <c r="AL995" t="s">
        <v>105</v>
      </c>
      <c r="AM995" t="e">
        <v>#VALUE!</v>
      </c>
    </row>
    <row r="996" spans="32:39" hidden="1">
      <c r="AF996" t="e">
        <v>#VALUE!</v>
      </c>
      <c r="AG996" t="e">
        <v>#VALUE!</v>
      </c>
      <c r="AH996" t="e">
        <v>#VALUE!</v>
      </c>
      <c r="AI996" t="e">
        <v>#VALUE!</v>
      </c>
      <c r="AJ996" t="e">
        <v>#VALUE!</v>
      </c>
      <c r="AK996" t="e">
        <v>#VALUE!</v>
      </c>
      <c r="AL996" t="s">
        <v>105</v>
      </c>
      <c r="AM996" t="e">
        <v>#VALUE!</v>
      </c>
    </row>
    <row r="997" spans="32:39" hidden="1">
      <c r="AF997" t="e">
        <v>#VALUE!</v>
      </c>
      <c r="AG997" t="e">
        <v>#VALUE!</v>
      </c>
      <c r="AH997" t="e">
        <v>#VALUE!</v>
      </c>
      <c r="AI997" t="e">
        <v>#VALUE!</v>
      </c>
      <c r="AJ997" t="e">
        <v>#VALUE!</v>
      </c>
      <c r="AK997" t="e">
        <v>#VALUE!</v>
      </c>
      <c r="AL997" t="s">
        <v>105</v>
      </c>
      <c r="AM997" t="e">
        <v>#VALUE!</v>
      </c>
    </row>
    <row r="998" spans="32:39" hidden="1">
      <c r="AF998" t="e">
        <v>#VALUE!</v>
      </c>
      <c r="AG998" t="e">
        <v>#VALUE!</v>
      </c>
      <c r="AH998" t="e">
        <v>#VALUE!</v>
      </c>
      <c r="AI998" t="e">
        <v>#VALUE!</v>
      </c>
      <c r="AJ998" t="e">
        <v>#VALUE!</v>
      </c>
      <c r="AK998" t="e">
        <v>#VALUE!</v>
      </c>
      <c r="AL998" t="s">
        <v>105</v>
      </c>
      <c r="AM998" t="e">
        <v>#VALUE!</v>
      </c>
    </row>
    <row r="999" spans="32:39" hidden="1">
      <c r="AF999" t="e">
        <v>#VALUE!</v>
      </c>
      <c r="AG999" t="e">
        <v>#VALUE!</v>
      </c>
      <c r="AH999" t="e">
        <v>#VALUE!</v>
      </c>
      <c r="AI999" t="e">
        <v>#VALUE!</v>
      </c>
      <c r="AJ999" t="e">
        <v>#VALUE!</v>
      </c>
      <c r="AK999" t="e">
        <v>#VALUE!</v>
      </c>
      <c r="AL999" t="s">
        <v>105</v>
      </c>
      <c r="AM999" t="e">
        <v>#VALUE!</v>
      </c>
    </row>
    <row r="1000" spans="32:39" hidden="1">
      <c r="AF1000" t="e">
        <v>#VALUE!</v>
      </c>
      <c r="AG1000" t="e">
        <v>#VALUE!</v>
      </c>
      <c r="AH1000" t="e">
        <v>#VALUE!</v>
      </c>
      <c r="AI1000" t="e">
        <v>#VALUE!</v>
      </c>
      <c r="AJ1000" t="e">
        <v>#VALUE!</v>
      </c>
      <c r="AK1000" t="e">
        <v>#VALUE!</v>
      </c>
      <c r="AL1000" t="s">
        <v>105</v>
      </c>
      <c r="AM1000" t="e">
        <v>#VALUE!</v>
      </c>
    </row>
    <row r="1001" spans="32:39" hidden="1">
      <c r="AF1001" t="e">
        <v>#VALUE!</v>
      </c>
      <c r="AG1001" t="e">
        <v>#VALUE!</v>
      </c>
      <c r="AH1001" t="e">
        <v>#VALUE!</v>
      </c>
      <c r="AI1001" t="e">
        <v>#VALUE!</v>
      </c>
      <c r="AJ1001" t="e">
        <v>#VALUE!</v>
      </c>
      <c r="AK1001" t="e">
        <v>#VALUE!</v>
      </c>
      <c r="AL1001" t="s">
        <v>105</v>
      </c>
      <c r="AM1001" t="e">
        <v>#VALUE!</v>
      </c>
    </row>
    <row r="1002" spans="32:39" hidden="1">
      <c r="AF1002" t="e">
        <v>#VALUE!</v>
      </c>
      <c r="AG1002" t="e">
        <v>#VALUE!</v>
      </c>
      <c r="AH1002" t="e">
        <v>#VALUE!</v>
      </c>
      <c r="AI1002" t="e">
        <v>#VALUE!</v>
      </c>
      <c r="AJ1002" t="e">
        <v>#VALUE!</v>
      </c>
      <c r="AK1002" t="e">
        <v>#VALUE!</v>
      </c>
      <c r="AL1002" t="s">
        <v>105</v>
      </c>
      <c r="AM1002" t="e">
        <v>#VALUE!</v>
      </c>
    </row>
    <row r="1003" spans="32:39" hidden="1">
      <c r="AF1003" t="e">
        <v>#VALUE!</v>
      </c>
      <c r="AG1003" t="e">
        <v>#VALUE!</v>
      </c>
      <c r="AH1003" t="e">
        <v>#VALUE!</v>
      </c>
      <c r="AI1003" t="e">
        <v>#VALUE!</v>
      </c>
      <c r="AJ1003" t="e">
        <v>#VALUE!</v>
      </c>
      <c r="AK1003" t="e">
        <v>#VALUE!</v>
      </c>
      <c r="AL1003" t="s">
        <v>105</v>
      </c>
      <c r="AM1003" t="e">
        <v>#VALUE!</v>
      </c>
    </row>
    <row r="1004" spans="32:39" hidden="1">
      <c r="AF1004" t="e">
        <v>#VALUE!</v>
      </c>
      <c r="AG1004" t="e">
        <v>#VALUE!</v>
      </c>
      <c r="AH1004" t="e">
        <v>#VALUE!</v>
      </c>
      <c r="AI1004" t="e">
        <v>#VALUE!</v>
      </c>
      <c r="AJ1004" t="e">
        <v>#VALUE!</v>
      </c>
      <c r="AK1004" t="e">
        <v>#VALUE!</v>
      </c>
      <c r="AL1004" t="s">
        <v>105</v>
      </c>
      <c r="AM1004" t="e">
        <v>#VALUE!</v>
      </c>
    </row>
    <row r="1005" spans="32:39" hidden="1">
      <c r="AF1005" t="e">
        <v>#VALUE!</v>
      </c>
      <c r="AG1005" t="e">
        <v>#VALUE!</v>
      </c>
      <c r="AH1005" t="e">
        <v>#VALUE!</v>
      </c>
      <c r="AI1005" t="e">
        <v>#VALUE!</v>
      </c>
      <c r="AJ1005" t="e">
        <v>#VALUE!</v>
      </c>
      <c r="AK1005" t="e">
        <v>#VALUE!</v>
      </c>
      <c r="AL1005" t="s">
        <v>105</v>
      </c>
      <c r="AM1005" t="e">
        <v>#VALUE!</v>
      </c>
    </row>
    <row r="1006" spans="32:39" hidden="1">
      <c r="AF1006" t="e">
        <v>#VALUE!</v>
      </c>
      <c r="AG1006" t="e">
        <v>#VALUE!</v>
      </c>
      <c r="AH1006" t="e">
        <v>#VALUE!</v>
      </c>
      <c r="AI1006" t="e">
        <v>#VALUE!</v>
      </c>
      <c r="AJ1006" t="e">
        <v>#VALUE!</v>
      </c>
      <c r="AK1006" t="e">
        <v>#VALUE!</v>
      </c>
      <c r="AL1006" t="s">
        <v>105</v>
      </c>
      <c r="AM1006" t="e">
        <v>#VALUE!</v>
      </c>
    </row>
    <row r="1007" spans="32:39" hidden="1">
      <c r="AF1007" t="e">
        <v>#VALUE!</v>
      </c>
      <c r="AG1007" t="e">
        <v>#VALUE!</v>
      </c>
      <c r="AH1007" t="e">
        <v>#VALUE!</v>
      </c>
      <c r="AI1007" t="e">
        <v>#VALUE!</v>
      </c>
      <c r="AJ1007" t="e">
        <v>#VALUE!</v>
      </c>
      <c r="AK1007" t="e">
        <v>#VALUE!</v>
      </c>
      <c r="AL1007" t="s">
        <v>105</v>
      </c>
      <c r="AM1007" t="e">
        <v>#VALUE!</v>
      </c>
    </row>
    <row r="1008" spans="32:39" hidden="1">
      <c r="AF1008" t="e">
        <v>#VALUE!</v>
      </c>
      <c r="AG1008" t="e">
        <v>#VALUE!</v>
      </c>
      <c r="AH1008" t="e">
        <v>#VALUE!</v>
      </c>
      <c r="AI1008" t="e">
        <v>#VALUE!</v>
      </c>
      <c r="AJ1008" t="e">
        <v>#VALUE!</v>
      </c>
      <c r="AK1008" t="e">
        <v>#VALUE!</v>
      </c>
      <c r="AL1008" t="s">
        <v>105</v>
      </c>
      <c r="AM1008" t="e">
        <v>#VALUE!</v>
      </c>
    </row>
    <row r="1009" spans="32:39" hidden="1">
      <c r="AF1009" t="e">
        <v>#VALUE!</v>
      </c>
      <c r="AG1009" t="e">
        <v>#VALUE!</v>
      </c>
      <c r="AH1009" t="e">
        <v>#VALUE!</v>
      </c>
      <c r="AI1009" t="e">
        <v>#VALUE!</v>
      </c>
      <c r="AJ1009" t="e">
        <v>#VALUE!</v>
      </c>
      <c r="AK1009" t="e">
        <v>#VALUE!</v>
      </c>
      <c r="AL1009" t="s">
        <v>105</v>
      </c>
      <c r="AM1009" t="e">
        <v>#VALUE!</v>
      </c>
    </row>
    <row r="1010" spans="32:39" hidden="1">
      <c r="AF1010" t="e">
        <v>#VALUE!</v>
      </c>
      <c r="AG1010" t="e">
        <v>#VALUE!</v>
      </c>
      <c r="AH1010" t="e">
        <v>#VALUE!</v>
      </c>
      <c r="AI1010" t="e">
        <v>#VALUE!</v>
      </c>
      <c r="AJ1010" t="e">
        <v>#VALUE!</v>
      </c>
      <c r="AK1010" t="e">
        <v>#VALUE!</v>
      </c>
      <c r="AL1010" t="s">
        <v>105</v>
      </c>
      <c r="AM1010" t="e">
        <v>#VALUE!</v>
      </c>
    </row>
    <row r="1011" spans="32:39" hidden="1">
      <c r="AF1011" t="e">
        <v>#VALUE!</v>
      </c>
      <c r="AG1011" t="e">
        <v>#VALUE!</v>
      </c>
      <c r="AH1011" t="e">
        <v>#VALUE!</v>
      </c>
      <c r="AI1011" t="e">
        <v>#VALUE!</v>
      </c>
      <c r="AJ1011" t="e">
        <v>#VALUE!</v>
      </c>
      <c r="AK1011" t="e">
        <v>#VALUE!</v>
      </c>
      <c r="AL1011" t="s">
        <v>105</v>
      </c>
      <c r="AM1011" t="e">
        <v>#VALUE!</v>
      </c>
    </row>
    <row r="1012" spans="32:39" hidden="1">
      <c r="AF1012" t="e">
        <v>#VALUE!</v>
      </c>
      <c r="AG1012" t="e">
        <v>#VALUE!</v>
      </c>
      <c r="AH1012" t="e">
        <v>#VALUE!</v>
      </c>
      <c r="AI1012" t="e">
        <v>#VALUE!</v>
      </c>
      <c r="AJ1012" t="e">
        <v>#VALUE!</v>
      </c>
      <c r="AK1012" t="e">
        <v>#VALUE!</v>
      </c>
      <c r="AL1012" t="s">
        <v>105</v>
      </c>
      <c r="AM1012" t="e">
        <v>#VALUE!</v>
      </c>
    </row>
    <row r="1013" spans="32:39" hidden="1">
      <c r="AF1013" t="e">
        <v>#VALUE!</v>
      </c>
      <c r="AG1013" t="e">
        <v>#VALUE!</v>
      </c>
      <c r="AH1013" t="e">
        <v>#VALUE!</v>
      </c>
      <c r="AI1013" t="e">
        <v>#VALUE!</v>
      </c>
      <c r="AJ1013" t="e">
        <v>#VALUE!</v>
      </c>
      <c r="AK1013" t="e">
        <v>#VALUE!</v>
      </c>
      <c r="AL1013" t="s">
        <v>105</v>
      </c>
      <c r="AM1013" t="e">
        <v>#VALUE!</v>
      </c>
    </row>
    <row r="1014" spans="32:39" hidden="1">
      <c r="AF1014" t="e">
        <v>#VALUE!</v>
      </c>
      <c r="AG1014" t="e">
        <v>#VALUE!</v>
      </c>
      <c r="AH1014" t="e">
        <v>#VALUE!</v>
      </c>
      <c r="AI1014" t="e">
        <v>#VALUE!</v>
      </c>
      <c r="AJ1014" t="e">
        <v>#VALUE!</v>
      </c>
      <c r="AK1014" t="e">
        <v>#VALUE!</v>
      </c>
      <c r="AL1014" t="s">
        <v>105</v>
      </c>
      <c r="AM1014" t="e">
        <v>#VALUE!</v>
      </c>
    </row>
    <row r="1015" spans="32:39" hidden="1">
      <c r="AF1015" t="e">
        <v>#VALUE!</v>
      </c>
      <c r="AG1015" t="e">
        <v>#VALUE!</v>
      </c>
      <c r="AH1015" t="e">
        <v>#VALUE!</v>
      </c>
      <c r="AI1015" t="e">
        <v>#VALUE!</v>
      </c>
      <c r="AJ1015" t="e">
        <v>#VALUE!</v>
      </c>
      <c r="AK1015" t="e">
        <v>#VALUE!</v>
      </c>
      <c r="AL1015" t="s">
        <v>105</v>
      </c>
      <c r="AM1015" t="e">
        <v>#VALUE!</v>
      </c>
    </row>
    <row r="1016" spans="32:39" hidden="1">
      <c r="AF1016" t="e">
        <v>#VALUE!</v>
      </c>
      <c r="AG1016" t="e">
        <v>#VALUE!</v>
      </c>
      <c r="AH1016" t="e">
        <v>#VALUE!</v>
      </c>
      <c r="AI1016" t="e">
        <v>#VALUE!</v>
      </c>
      <c r="AJ1016" t="e">
        <v>#VALUE!</v>
      </c>
      <c r="AK1016" t="e">
        <v>#VALUE!</v>
      </c>
      <c r="AL1016" t="s">
        <v>105</v>
      </c>
      <c r="AM1016" t="e">
        <v>#VALUE!</v>
      </c>
    </row>
    <row r="1017" spans="32:39" hidden="1">
      <c r="AF1017" t="e">
        <v>#VALUE!</v>
      </c>
      <c r="AG1017" t="e">
        <v>#VALUE!</v>
      </c>
      <c r="AH1017" t="e">
        <v>#VALUE!</v>
      </c>
      <c r="AI1017" t="e">
        <v>#VALUE!</v>
      </c>
      <c r="AJ1017" t="e">
        <v>#VALUE!</v>
      </c>
      <c r="AK1017" t="e">
        <v>#VALUE!</v>
      </c>
      <c r="AL1017" t="s">
        <v>105</v>
      </c>
      <c r="AM1017" t="e">
        <v>#VALUE!</v>
      </c>
    </row>
    <row r="1018" spans="32:39" hidden="1">
      <c r="AF1018" t="e">
        <v>#VALUE!</v>
      </c>
      <c r="AG1018" t="e">
        <v>#VALUE!</v>
      </c>
      <c r="AH1018" t="e">
        <v>#VALUE!</v>
      </c>
      <c r="AI1018" t="e">
        <v>#VALUE!</v>
      </c>
      <c r="AJ1018" t="e">
        <v>#VALUE!</v>
      </c>
      <c r="AK1018" t="e">
        <v>#VALUE!</v>
      </c>
      <c r="AL1018" t="s">
        <v>105</v>
      </c>
      <c r="AM1018" t="e">
        <v>#VALUE!</v>
      </c>
    </row>
    <row r="1019" spans="32:39" hidden="1">
      <c r="AF1019" t="e">
        <v>#VALUE!</v>
      </c>
      <c r="AG1019" t="e">
        <v>#VALUE!</v>
      </c>
      <c r="AH1019" t="e">
        <v>#VALUE!</v>
      </c>
      <c r="AI1019" t="e">
        <v>#VALUE!</v>
      </c>
      <c r="AJ1019" t="e">
        <v>#VALUE!</v>
      </c>
      <c r="AK1019" t="e">
        <v>#VALUE!</v>
      </c>
      <c r="AL1019" t="s">
        <v>105</v>
      </c>
      <c r="AM1019" t="e">
        <v>#VALUE!</v>
      </c>
    </row>
    <row r="1020" spans="32:39" hidden="1">
      <c r="AF1020" t="e">
        <v>#VALUE!</v>
      </c>
      <c r="AG1020" t="e">
        <v>#VALUE!</v>
      </c>
      <c r="AH1020" t="e">
        <v>#VALUE!</v>
      </c>
      <c r="AI1020" t="e">
        <v>#VALUE!</v>
      </c>
      <c r="AJ1020" t="e">
        <v>#VALUE!</v>
      </c>
      <c r="AK1020" t="e">
        <v>#VALUE!</v>
      </c>
      <c r="AL1020" t="s">
        <v>105</v>
      </c>
      <c r="AM1020" t="e">
        <v>#VALUE!</v>
      </c>
    </row>
    <row r="1021" spans="32:39" hidden="1">
      <c r="AF1021" t="e">
        <v>#VALUE!</v>
      </c>
      <c r="AG1021" t="e">
        <v>#VALUE!</v>
      </c>
      <c r="AH1021" t="e">
        <v>#VALUE!</v>
      </c>
      <c r="AI1021" t="e">
        <v>#VALUE!</v>
      </c>
      <c r="AJ1021" t="e">
        <v>#VALUE!</v>
      </c>
      <c r="AK1021" t="e">
        <v>#VALUE!</v>
      </c>
      <c r="AL1021" t="s">
        <v>105</v>
      </c>
      <c r="AM1021" t="e">
        <v>#VALUE!</v>
      </c>
    </row>
    <row r="1022" spans="32:39" hidden="1">
      <c r="AF1022" t="e">
        <v>#VALUE!</v>
      </c>
      <c r="AG1022" t="e">
        <v>#VALUE!</v>
      </c>
      <c r="AH1022" t="e">
        <v>#VALUE!</v>
      </c>
      <c r="AI1022" t="e">
        <v>#VALUE!</v>
      </c>
      <c r="AJ1022" t="e">
        <v>#VALUE!</v>
      </c>
      <c r="AK1022" t="e">
        <v>#VALUE!</v>
      </c>
      <c r="AL1022" t="s">
        <v>105</v>
      </c>
      <c r="AM1022" t="e">
        <v>#VALUE!</v>
      </c>
    </row>
    <row r="1023" spans="32:39" hidden="1">
      <c r="AF1023" t="e">
        <v>#VALUE!</v>
      </c>
      <c r="AG1023" t="e">
        <v>#VALUE!</v>
      </c>
      <c r="AH1023" t="e">
        <v>#VALUE!</v>
      </c>
      <c r="AI1023" t="e">
        <v>#VALUE!</v>
      </c>
      <c r="AJ1023" t="e">
        <v>#VALUE!</v>
      </c>
      <c r="AK1023" t="e">
        <v>#VALUE!</v>
      </c>
      <c r="AL1023" t="s">
        <v>105</v>
      </c>
      <c r="AM1023" t="e">
        <v>#VALUE!</v>
      </c>
    </row>
    <row r="1024" spans="32:39" hidden="1">
      <c r="AF1024" t="e">
        <v>#VALUE!</v>
      </c>
      <c r="AG1024" t="e">
        <v>#VALUE!</v>
      </c>
      <c r="AH1024" t="e">
        <v>#VALUE!</v>
      </c>
      <c r="AI1024" t="e">
        <v>#VALUE!</v>
      </c>
      <c r="AJ1024" t="e">
        <v>#VALUE!</v>
      </c>
      <c r="AK1024" t="e">
        <v>#VALUE!</v>
      </c>
      <c r="AL1024" t="s">
        <v>105</v>
      </c>
      <c r="AM1024" t="e">
        <v>#VALUE!</v>
      </c>
    </row>
    <row r="1025" spans="32:39" hidden="1">
      <c r="AF1025" t="e">
        <v>#VALUE!</v>
      </c>
      <c r="AG1025" t="e">
        <v>#VALUE!</v>
      </c>
      <c r="AH1025" t="e">
        <v>#VALUE!</v>
      </c>
      <c r="AI1025" t="e">
        <v>#VALUE!</v>
      </c>
      <c r="AJ1025" t="e">
        <v>#VALUE!</v>
      </c>
      <c r="AK1025" t="e">
        <v>#VALUE!</v>
      </c>
      <c r="AL1025" t="s">
        <v>105</v>
      </c>
      <c r="AM1025" t="e">
        <v>#VALUE!</v>
      </c>
    </row>
    <row r="1026" spans="32:39" hidden="1">
      <c r="AF1026" t="e">
        <v>#VALUE!</v>
      </c>
      <c r="AG1026" t="e">
        <v>#VALUE!</v>
      </c>
      <c r="AH1026" t="e">
        <v>#VALUE!</v>
      </c>
      <c r="AI1026" t="e">
        <v>#VALUE!</v>
      </c>
      <c r="AJ1026" t="e">
        <v>#VALUE!</v>
      </c>
      <c r="AK1026" t="e">
        <v>#VALUE!</v>
      </c>
      <c r="AL1026" t="s">
        <v>105</v>
      </c>
      <c r="AM1026" t="e">
        <v>#VALUE!</v>
      </c>
    </row>
    <row r="1027" spans="32:39" hidden="1">
      <c r="AF1027" t="e">
        <v>#VALUE!</v>
      </c>
      <c r="AG1027" t="e">
        <v>#VALUE!</v>
      </c>
      <c r="AH1027" t="e">
        <v>#VALUE!</v>
      </c>
      <c r="AI1027" t="e">
        <v>#VALUE!</v>
      </c>
      <c r="AJ1027" t="e">
        <v>#VALUE!</v>
      </c>
      <c r="AK1027" t="e">
        <v>#VALUE!</v>
      </c>
      <c r="AL1027" t="s">
        <v>105</v>
      </c>
      <c r="AM1027" t="e">
        <v>#VALUE!</v>
      </c>
    </row>
    <row r="1028" spans="32:39" hidden="1">
      <c r="AF1028" t="e">
        <v>#VALUE!</v>
      </c>
      <c r="AG1028" t="e">
        <v>#VALUE!</v>
      </c>
      <c r="AH1028" t="e">
        <v>#VALUE!</v>
      </c>
      <c r="AI1028" t="e">
        <v>#VALUE!</v>
      </c>
      <c r="AJ1028" t="e">
        <v>#VALUE!</v>
      </c>
      <c r="AK1028" t="e">
        <v>#VALUE!</v>
      </c>
      <c r="AL1028" t="s">
        <v>105</v>
      </c>
      <c r="AM1028" t="e">
        <v>#VALUE!</v>
      </c>
    </row>
    <row r="1029" spans="32:39" hidden="1">
      <c r="AF1029" t="e">
        <v>#VALUE!</v>
      </c>
      <c r="AG1029" t="e">
        <v>#VALUE!</v>
      </c>
      <c r="AH1029" t="e">
        <v>#VALUE!</v>
      </c>
      <c r="AI1029" t="e">
        <v>#VALUE!</v>
      </c>
      <c r="AJ1029" t="e">
        <v>#VALUE!</v>
      </c>
      <c r="AK1029" t="e">
        <v>#VALUE!</v>
      </c>
      <c r="AL1029" t="s">
        <v>105</v>
      </c>
      <c r="AM1029" t="e">
        <v>#VALUE!</v>
      </c>
    </row>
    <row r="1030" spans="32:39" hidden="1">
      <c r="AF1030" t="e">
        <v>#VALUE!</v>
      </c>
      <c r="AG1030" t="e">
        <v>#VALUE!</v>
      </c>
      <c r="AH1030" t="e">
        <v>#VALUE!</v>
      </c>
      <c r="AI1030" t="e">
        <v>#VALUE!</v>
      </c>
      <c r="AJ1030" t="e">
        <v>#VALUE!</v>
      </c>
      <c r="AK1030" t="e">
        <v>#VALUE!</v>
      </c>
      <c r="AL1030" t="s">
        <v>105</v>
      </c>
      <c r="AM1030" t="e">
        <v>#VALUE!</v>
      </c>
    </row>
    <row r="1031" spans="32:39" hidden="1">
      <c r="AF1031" t="e">
        <v>#VALUE!</v>
      </c>
      <c r="AG1031" t="e">
        <v>#VALUE!</v>
      </c>
      <c r="AH1031" t="e">
        <v>#VALUE!</v>
      </c>
      <c r="AI1031" t="e">
        <v>#VALUE!</v>
      </c>
      <c r="AJ1031" t="e">
        <v>#VALUE!</v>
      </c>
      <c r="AK1031" t="e">
        <v>#VALUE!</v>
      </c>
      <c r="AL1031" t="s">
        <v>105</v>
      </c>
      <c r="AM1031" t="e">
        <v>#VALUE!</v>
      </c>
    </row>
    <row r="1032" spans="32:39" hidden="1">
      <c r="AF1032" t="e">
        <v>#VALUE!</v>
      </c>
      <c r="AG1032" t="e">
        <v>#VALUE!</v>
      </c>
      <c r="AH1032" t="e">
        <v>#VALUE!</v>
      </c>
      <c r="AI1032" t="e">
        <v>#VALUE!</v>
      </c>
      <c r="AJ1032" t="e">
        <v>#VALUE!</v>
      </c>
      <c r="AK1032" t="e">
        <v>#VALUE!</v>
      </c>
      <c r="AL1032" t="s">
        <v>105</v>
      </c>
      <c r="AM1032" t="e">
        <v>#VALUE!</v>
      </c>
    </row>
    <row r="1033" spans="32:39" hidden="1">
      <c r="AF1033" t="e">
        <v>#VALUE!</v>
      </c>
      <c r="AG1033" t="e">
        <v>#VALUE!</v>
      </c>
      <c r="AH1033" t="e">
        <v>#VALUE!</v>
      </c>
      <c r="AI1033" t="e">
        <v>#VALUE!</v>
      </c>
      <c r="AJ1033" t="e">
        <v>#VALUE!</v>
      </c>
      <c r="AK1033" t="e">
        <v>#VALUE!</v>
      </c>
      <c r="AL1033" t="s">
        <v>105</v>
      </c>
      <c r="AM1033" t="e">
        <v>#VALUE!</v>
      </c>
    </row>
    <row r="1034" spans="32:39" hidden="1">
      <c r="AF1034" t="e">
        <v>#VALUE!</v>
      </c>
      <c r="AG1034" t="e">
        <v>#VALUE!</v>
      </c>
      <c r="AH1034" t="e">
        <v>#VALUE!</v>
      </c>
      <c r="AI1034" t="e">
        <v>#VALUE!</v>
      </c>
      <c r="AJ1034" t="e">
        <v>#VALUE!</v>
      </c>
      <c r="AK1034" t="e">
        <v>#VALUE!</v>
      </c>
      <c r="AL1034" t="s">
        <v>105</v>
      </c>
      <c r="AM1034" t="e">
        <v>#VALUE!</v>
      </c>
    </row>
    <row r="1035" spans="32:39" hidden="1">
      <c r="AF1035" t="e">
        <v>#VALUE!</v>
      </c>
      <c r="AG1035" t="e">
        <v>#VALUE!</v>
      </c>
      <c r="AH1035" t="e">
        <v>#VALUE!</v>
      </c>
      <c r="AI1035" t="e">
        <v>#VALUE!</v>
      </c>
      <c r="AJ1035" t="e">
        <v>#VALUE!</v>
      </c>
      <c r="AK1035" t="e">
        <v>#VALUE!</v>
      </c>
      <c r="AL1035" t="s">
        <v>105</v>
      </c>
      <c r="AM1035" t="e">
        <v>#VALUE!</v>
      </c>
    </row>
    <row r="1036" spans="32:39" hidden="1">
      <c r="AF1036" t="e">
        <v>#VALUE!</v>
      </c>
      <c r="AG1036" t="e">
        <v>#VALUE!</v>
      </c>
      <c r="AH1036" t="e">
        <v>#VALUE!</v>
      </c>
      <c r="AI1036" t="e">
        <v>#VALUE!</v>
      </c>
      <c r="AJ1036" t="e">
        <v>#VALUE!</v>
      </c>
      <c r="AK1036" t="e">
        <v>#VALUE!</v>
      </c>
      <c r="AL1036" t="s">
        <v>105</v>
      </c>
      <c r="AM1036" t="e">
        <v>#VALUE!</v>
      </c>
    </row>
    <row r="1037" spans="32:39" hidden="1">
      <c r="AF1037" t="e">
        <v>#VALUE!</v>
      </c>
      <c r="AG1037" t="e">
        <v>#VALUE!</v>
      </c>
      <c r="AH1037" t="e">
        <v>#VALUE!</v>
      </c>
      <c r="AI1037" t="e">
        <v>#VALUE!</v>
      </c>
      <c r="AJ1037" t="e">
        <v>#VALUE!</v>
      </c>
      <c r="AK1037" t="e">
        <v>#VALUE!</v>
      </c>
      <c r="AL1037" t="s">
        <v>105</v>
      </c>
      <c r="AM1037" t="e">
        <v>#VALUE!</v>
      </c>
    </row>
    <row r="1038" spans="32:39" hidden="1">
      <c r="AF1038" t="e">
        <v>#VALUE!</v>
      </c>
      <c r="AG1038" t="e">
        <v>#VALUE!</v>
      </c>
      <c r="AH1038" t="e">
        <v>#VALUE!</v>
      </c>
      <c r="AI1038" t="e">
        <v>#VALUE!</v>
      </c>
      <c r="AJ1038" t="e">
        <v>#VALUE!</v>
      </c>
      <c r="AK1038" t="e">
        <v>#VALUE!</v>
      </c>
      <c r="AL1038" t="s">
        <v>105</v>
      </c>
      <c r="AM1038" t="e">
        <v>#VALUE!</v>
      </c>
    </row>
    <row r="1039" spans="32:39" hidden="1">
      <c r="AF1039" t="e">
        <v>#VALUE!</v>
      </c>
      <c r="AG1039" t="e">
        <v>#VALUE!</v>
      </c>
      <c r="AH1039" t="e">
        <v>#VALUE!</v>
      </c>
      <c r="AI1039" t="e">
        <v>#VALUE!</v>
      </c>
      <c r="AJ1039" t="e">
        <v>#VALUE!</v>
      </c>
      <c r="AK1039" t="e">
        <v>#VALUE!</v>
      </c>
      <c r="AL1039" t="s">
        <v>105</v>
      </c>
      <c r="AM1039" t="e">
        <v>#VALUE!</v>
      </c>
    </row>
    <row r="1040" spans="32:39" hidden="1">
      <c r="AF1040" t="e">
        <v>#VALUE!</v>
      </c>
      <c r="AG1040" t="e">
        <v>#VALUE!</v>
      </c>
      <c r="AH1040" t="e">
        <v>#VALUE!</v>
      </c>
      <c r="AI1040" t="e">
        <v>#VALUE!</v>
      </c>
      <c r="AJ1040" t="e">
        <v>#VALUE!</v>
      </c>
      <c r="AK1040" t="e">
        <v>#VALUE!</v>
      </c>
      <c r="AL1040" t="s">
        <v>105</v>
      </c>
      <c r="AM1040" t="e">
        <v>#VALUE!</v>
      </c>
    </row>
    <row r="1041" spans="32:39" hidden="1">
      <c r="AF1041" t="e">
        <v>#VALUE!</v>
      </c>
      <c r="AG1041" t="e">
        <v>#VALUE!</v>
      </c>
      <c r="AH1041" t="e">
        <v>#VALUE!</v>
      </c>
      <c r="AI1041" t="e">
        <v>#VALUE!</v>
      </c>
      <c r="AJ1041" t="e">
        <v>#VALUE!</v>
      </c>
      <c r="AK1041" t="e">
        <v>#VALUE!</v>
      </c>
      <c r="AL1041" t="s">
        <v>105</v>
      </c>
      <c r="AM1041" t="e">
        <v>#VALUE!</v>
      </c>
    </row>
    <row r="1042" spans="32:39" hidden="1">
      <c r="AF1042" t="e">
        <v>#VALUE!</v>
      </c>
      <c r="AG1042" t="e">
        <v>#VALUE!</v>
      </c>
      <c r="AH1042" t="e">
        <v>#VALUE!</v>
      </c>
      <c r="AI1042" t="e">
        <v>#VALUE!</v>
      </c>
      <c r="AJ1042" t="e">
        <v>#VALUE!</v>
      </c>
      <c r="AK1042" t="e">
        <v>#VALUE!</v>
      </c>
      <c r="AL1042" t="s">
        <v>105</v>
      </c>
      <c r="AM1042" t="e">
        <v>#VALUE!</v>
      </c>
    </row>
    <row r="1043" spans="32:39" hidden="1">
      <c r="AF1043" t="e">
        <v>#VALUE!</v>
      </c>
      <c r="AG1043" t="e">
        <v>#VALUE!</v>
      </c>
      <c r="AH1043" t="e">
        <v>#VALUE!</v>
      </c>
      <c r="AI1043" t="e">
        <v>#VALUE!</v>
      </c>
      <c r="AJ1043" t="e">
        <v>#VALUE!</v>
      </c>
      <c r="AK1043" t="e">
        <v>#VALUE!</v>
      </c>
      <c r="AL1043" t="s">
        <v>105</v>
      </c>
      <c r="AM1043" t="e">
        <v>#VALUE!</v>
      </c>
    </row>
    <row r="1044" spans="32:39" hidden="1">
      <c r="AF1044" t="e">
        <v>#VALUE!</v>
      </c>
      <c r="AG1044" t="e">
        <v>#VALUE!</v>
      </c>
      <c r="AH1044" t="e">
        <v>#VALUE!</v>
      </c>
      <c r="AI1044" t="e">
        <v>#VALUE!</v>
      </c>
      <c r="AJ1044" t="e">
        <v>#VALUE!</v>
      </c>
      <c r="AK1044" t="e">
        <v>#VALUE!</v>
      </c>
      <c r="AL1044" t="s">
        <v>105</v>
      </c>
      <c r="AM1044" t="e">
        <v>#VALUE!</v>
      </c>
    </row>
    <row r="1045" spans="32:39" hidden="1">
      <c r="AF1045" t="e">
        <v>#VALUE!</v>
      </c>
      <c r="AG1045" t="e">
        <v>#VALUE!</v>
      </c>
      <c r="AH1045" t="e">
        <v>#VALUE!</v>
      </c>
      <c r="AI1045" t="e">
        <v>#VALUE!</v>
      </c>
      <c r="AJ1045" t="e">
        <v>#VALUE!</v>
      </c>
      <c r="AK1045" t="e">
        <v>#VALUE!</v>
      </c>
      <c r="AL1045" t="s">
        <v>105</v>
      </c>
      <c r="AM1045" t="e">
        <v>#VALUE!</v>
      </c>
    </row>
    <row r="1046" spans="32:39" hidden="1">
      <c r="AF1046" t="e">
        <v>#VALUE!</v>
      </c>
      <c r="AG1046" t="e">
        <v>#VALUE!</v>
      </c>
      <c r="AH1046" t="e">
        <v>#VALUE!</v>
      </c>
      <c r="AI1046" t="e">
        <v>#VALUE!</v>
      </c>
      <c r="AJ1046" t="e">
        <v>#VALUE!</v>
      </c>
      <c r="AK1046" t="e">
        <v>#VALUE!</v>
      </c>
      <c r="AL1046" t="s">
        <v>105</v>
      </c>
      <c r="AM1046" t="e">
        <v>#VALUE!</v>
      </c>
    </row>
    <row r="1047" spans="32:39" hidden="1">
      <c r="AF1047" t="e">
        <v>#VALUE!</v>
      </c>
      <c r="AG1047" t="e">
        <v>#VALUE!</v>
      </c>
      <c r="AH1047" t="e">
        <v>#VALUE!</v>
      </c>
      <c r="AI1047" t="e">
        <v>#VALUE!</v>
      </c>
      <c r="AJ1047" t="e">
        <v>#VALUE!</v>
      </c>
      <c r="AK1047" t="e">
        <v>#VALUE!</v>
      </c>
      <c r="AL1047" t="s">
        <v>105</v>
      </c>
      <c r="AM1047" t="e">
        <v>#VALUE!</v>
      </c>
    </row>
    <row r="1048" spans="32:39" hidden="1">
      <c r="AF1048" t="e">
        <v>#VALUE!</v>
      </c>
      <c r="AG1048" t="e">
        <v>#VALUE!</v>
      </c>
      <c r="AH1048" t="e">
        <v>#VALUE!</v>
      </c>
      <c r="AI1048" t="e">
        <v>#VALUE!</v>
      </c>
      <c r="AJ1048" t="e">
        <v>#VALUE!</v>
      </c>
      <c r="AK1048" t="e">
        <v>#VALUE!</v>
      </c>
      <c r="AL1048" t="s">
        <v>105</v>
      </c>
      <c r="AM1048" t="e">
        <v>#VALUE!</v>
      </c>
    </row>
    <row r="1049" spans="32:39" hidden="1">
      <c r="AF1049" t="e">
        <v>#VALUE!</v>
      </c>
      <c r="AG1049" t="e">
        <v>#VALUE!</v>
      </c>
      <c r="AH1049" t="e">
        <v>#VALUE!</v>
      </c>
      <c r="AI1049" t="e">
        <v>#VALUE!</v>
      </c>
      <c r="AJ1049" t="e">
        <v>#VALUE!</v>
      </c>
      <c r="AK1049" t="e">
        <v>#VALUE!</v>
      </c>
      <c r="AL1049" t="s">
        <v>105</v>
      </c>
      <c r="AM1049" t="e">
        <v>#VALUE!</v>
      </c>
    </row>
    <row r="1050" spans="32:39" hidden="1">
      <c r="AF1050" t="e">
        <v>#VALUE!</v>
      </c>
      <c r="AG1050" t="e">
        <v>#VALUE!</v>
      </c>
      <c r="AH1050" t="e">
        <v>#VALUE!</v>
      </c>
      <c r="AI1050" t="e">
        <v>#VALUE!</v>
      </c>
      <c r="AJ1050" t="e">
        <v>#VALUE!</v>
      </c>
      <c r="AK1050" t="e">
        <v>#VALUE!</v>
      </c>
      <c r="AL1050" t="s">
        <v>105</v>
      </c>
      <c r="AM1050" t="e">
        <v>#VALUE!</v>
      </c>
    </row>
    <row r="1051" spans="32:39" hidden="1">
      <c r="AF1051" t="e">
        <v>#VALUE!</v>
      </c>
      <c r="AG1051" t="e">
        <v>#VALUE!</v>
      </c>
      <c r="AH1051" t="e">
        <v>#VALUE!</v>
      </c>
      <c r="AI1051" t="e">
        <v>#VALUE!</v>
      </c>
      <c r="AJ1051" t="e">
        <v>#VALUE!</v>
      </c>
      <c r="AK1051" t="e">
        <v>#VALUE!</v>
      </c>
      <c r="AL1051" t="s">
        <v>105</v>
      </c>
      <c r="AM1051" t="e">
        <v>#VALUE!</v>
      </c>
    </row>
    <row r="1052" spans="32:39" hidden="1">
      <c r="AF1052" t="e">
        <v>#VALUE!</v>
      </c>
      <c r="AG1052" t="e">
        <v>#VALUE!</v>
      </c>
      <c r="AH1052" t="e">
        <v>#VALUE!</v>
      </c>
      <c r="AI1052" t="e">
        <v>#VALUE!</v>
      </c>
      <c r="AJ1052" t="e">
        <v>#VALUE!</v>
      </c>
      <c r="AK1052" t="e">
        <v>#VALUE!</v>
      </c>
      <c r="AL1052" t="s">
        <v>105</v>
      </c>
      <c r="AM1052" t="e">
        <v>#VALUE!</v>
      </c>
    </row>
    <row r="1053" spans="32:39" hidden="1">
      <c r="AF1053" t="e">
        <v>#VALUE!</v>
      </c>
      <c r="AG1053" t="e">
        <v>#VALUE!</v>
      </c>
      <c r="AH1053" t="e">
        <v>#VALUE!</v>
      </c>
      <c r="AI1053" t="e">
        <v>#VALUE!</v>
      </c>
      <c r="AJ1053" t="e">
        <v>#VALUE!</v>
      </c>
      <c r="AK1053" t="e">
        <v>#VALUE!</v>
      </c>
      <c r="AL1053" t="s">
        <v>105</v>
      </c>
      <c r="AM1053" t="e">
        <v>#VALUE!</v>
      </c>
    </row>
    <row r="1054" spans="32:39" hidden="1">
      <c r="AF1054" t="e">
        <v>#VALUE!</v>
      </c>
      <c r="AG1054" t="e">
        <v>#VALUE!</v>
      </c>
      <c r="AH1054" t="e">
        <v>#VALUE!</v>
      </c>
      <c r="AI1054" t="e">
        <v>#VALUE!</v>
      </c>
      <c r="AJ1054" t="e">
        <v>#VALUE!</v>
      </c>
      <c r="AK1054" t="e">
        <v>#VALUE!</v>
      </c>
      <c r="AL1054" t="s">
        <v>105</v>
      </c>
      <c r="AM1054" t="e">
        <v>#VALUE!</v>
      </c>
    </row>
    <row r="1055" spans="32:39" hidden="1">
      <c r="AF1055" t="e">
        <v>#VALUE!</v>
      </c>
      <c r="AG1055" t="e">
        <v>#VALUE!</v>
      </c>
      <c r="AH1055" t="e">
        <v>#VALUE!</v>
      </c>
      <c r="AI1055" t="e">
        <v>#VALUE!</v>
      </c>
      <c r="AJ1055" t="e">
        <v>#VALUE!</v>
      </c>
      <c r="AK1055" t="e">
        <v>#VALUE!</v>
      </c>
      <c r="AL1055" t="s">
        <v>105</v>
      </c>
      <c r="AM1055" t="e">
        <v>#VALUE!</v>
      </c>
    </row>
    <row r="1056" spans="32:39" hidden="1">
      <c r="AF1056" t="e">
        <v>#VALUE!</v>
      </c>
      <c r="AG1056" t="e">
        <v>#VALUE!</v>
      </c>
      <c r="AH1056" t="e">
        <v>#VALUE!</v>
      </c>
      <c r="AI1056" t="e">
        <v>#VALUE!</v>
      </c>
      <c r="AJ1056" t="e">
        <v>#VALUE!</v>
      </c>
      <c r="AK1056" t="e">
        <v>#VALUE!</v>
      </c>
      <c r="AL1056" t="s">
        <v>105</v>
      </c>
      <c r="AM1056" t="e">
        <v>#VALUE!</v>
      </c>
    </row>
    <row r="1057" spans="32:39" hidden="1">
      <c r="AF1057" t="e">
        <v>#VALUE!</v>
      </c>
      <c r="AG1057" t="e">
        <v>#VALUE!</v>
      </c>
      <c r="AH1057" t="e">
        <v>#VALUE!</v>
      </c>
      <c r="AI1057" t="e">
        <v>#VALUE!</v>
      </c>
      <c r="AJ1057" t="e">
        <v>#VALUE!</v>
      </c>
      <c r="AK1057" t="e">
        <v>#VALUE!</v>
      </c>
      <c r="AL1057" t="s">
        <v>105</v>
      </c>
      <c r="AM1057" t="e">
        <v>#VALUE!</v>
      </c>
    </row>
    <row r="1058" spans="32:39" hidden="1">
      <c r="AF1058" t="e">
        <v>#VALUE!</v>
      </c>
      <c r="AG1058" t="e">
        <v>#VALUE!</v>
      </c>
      <c r="AH1058" t="e">
        <v>#VALUE!</v>
      </c>
      <c r="AI1058" t="e">
        <v>#VALUE!</v>
      </c>
      <c r="AJ1058" t="e">
        <v>#VALUE!</v>
      </c>
      <c r="AK1058" t="e">
        <v>#VALUE!</v>
      </c>
      <c r="AL1058" t="s">
        <v>105</v>
      </c>
      <c r="AM1058" t="e">
        <v>#VALUE!</v>
      </c>
    </row>
    <row r="1059" spans="32:39" hidden="1">
      <c r="AF1059" t="e">
        <v>#VALUE!</v>
      </c>
      <c r="AG1059" t="e">
        <v>#VALUE!</v>
      </c>
      <c r="AH1059" t="e">
        <v>#VALUE!</v>
      </c>
      <c r="AI1059" t="e">
        <v>#VALUE!</v>
      </c>
      <c r="AJ1059" t="e">
        <v>#VALUE!</v>
      </c>
      <c r="AK1059" t="e">
        <v>#VALUE!</v>
      </c>
      <c r="AL1059" t="s">
        <v>105</v>
      </c>
      <c r="AM1059" t="e">
        <v>#VALUE!</v>
      </c>
    </row>
    <row r="1060" spans="32:39" hidden="1">
      <c r="AF1060" t="e">
        <v>#VALUE!</v>
      </c>
      <c r="AG1060" t="e">
        <v>#VALUE!</v>
      </c>
      <c r="AH1060" t="e">
        <v>#VALUE!</v>
      </c>
      <c r="AI1060" t="e">
        <v>#VALUE!</v>
      </c>
      <c r="AJ1060" t="e">
        <v>#VALUE!</v>
      </c>
      <c r="AK1060" t="e">
        <v>#VALUE!</v>
      </c>
      <c r="AL1060" t="s">
        <v>105</v>
      </c>
      <c r="AM1060" t="e">
        <v>#VALUE!</v>
      </c>
    </row>
    <row r="1061" spans="32:39" hidden="1">
      <c r="AF1061" t="e">
        <v>#VALUE!</v>
      </c>
      <c r="AG1061" t="e">
        <v>#VALUE!</v>
      </c>
      <c r="AH1061" t="e">
        <v>#VALUE!</v>
      </c>
      <c r="AI1061" t="e">
        <v>#VALUE!</v>
      </c>
      <c r="AJ1061" t="e">
        <v>#VALUE!</v>
      </c>
      <c r="AK1061" t="e">
        <v>#VALUE!</v>
      </c>
      <c r="AL1061" t="s">
        <v>105</v>
      </c>
      <c r="AM1061" t="e">
        <v>#VALUE!</v>
      </c>
    </row>
    <row r="1062" spans="32:39" hidden="1">
      <c r="AF1062" t="e">
        <v>#VALUE!</v>
      </c>
      <c r="AG1062" t="e">
        <v>#VALUE!</v>
      </c>
      <c r="AH1062" t="e">
        <v>#VALUE!</v>
      </c>
      <c r="AI1062" t="e">
        <v>#VALUE!</v>
      </c>
      <c r="AJ1062" t="e">
        <v>#VALUE!</v>
      </c>
      <c r="AK1062" t="e">
        <v>#VALUE!</v>
      </c>
      <c r="AL1062" t="s">
        <v>105</v>
      </c>
      <c r="AM1062" t="e">
        <v>#VALUE!</v>
      </c>
    </row>
    <row r="1063" spans="32:39" hidden="1">
      <c r="AF1063" t="e">
        <v>#VALUE!</v>
      </c>
      <c r="AG1063" t="e">
        <v>#VALUE!</v>
      </c>
      <c r="AH1063" t="e">
        <v>#VALUE!</v>
      </c>
      <c r="AI1063" t="e">
        <v>#VALUE!</v>
      </c>
      <c r="AJ1063" t="e">
        <v>#VALUE!</v>
      </c>
      <c r="AK1063" t="e">
        <v>#VALUE!</v>
      </c>
      <c r="AL1063" t="s">
        <v>105</v>
      </c>
      <c r="AM1063" t="e">
        <v>#VALUE!</v>
      </c>
    </row>
    <row r="1064" spans="32:39" hidden="1">
      <c r="AF1064" t="e">
        <v>#VALUE!</v>
      </c>
      <c r="AG1064" t="e">
        <v>#VALUE!</v>
      </c>
      <c r="AH1064" t="e">
        <v>#VALUE!</v>
      </c>
      <c r="AI1064" t="e">
        <v>#VALUE!</v>
      </c>
      <c r="AJ1064" t="e">
        <v>#VALUE!</v>
      </c>
      <c r="AK1064" t="e">
        <v>#VALUE!</v>
      </c>
      <c r="AL1064" t="s">
        <v>105</v>
      </c>
      <c r="AM1064" t="e">
        <v>#VALUE!</v>
      </c>
    </row>
    <row r="1065" spans="32:39" hidden="1">
      <c r="AF1065" t="e">
        <v>#VALUE!</v>
      </c>
      <c r="AG1065" t="e">
        <v>#VALUE!</v>
      </c>
      <c r="AH1065" t="e">
        <v>#VALUE!</v>
      </c>
      <c r="AI1065" t="e">
        <v>#VALUE!</v>
      </c>
      <c r="AJ1065" t="e">
        <v>#VALUE!</v>
      </c>
      <c r="AK1065" t="e">
        <v>#VALUE!</v>
      </c>
      <c r="AL1065" t="s">
        <v>105</v>
      </c>
      <c r="AM1065" t="e">
        <v>#VALUE!</v>
      </c>
    </row>
    <row r="1066" spans="32:39" hidden="1">
      <c r="AF1066" t="e">
        <v>#VALUE!</v>
      </c>
      <c r="AG1066" t="e">
        <v>#VALUE!</v>
      </c>
      <c r="AH1066" t="e">
        <v>#VALUE!</v>
      </c>
      <c r="AI1066" t="e">
        <v>#VALUE!</v>
      </c>
      <c r="AJ1066" t="e">
        <v>#VALUE!</v>
      </c>
      <c r="AK1066" t="e">
        <v>#VALUE!</v>
      </c>
      <c r="AL1066" t="s">
        <v>105</v>
      </c>
      <c r="AM1066" t="e">
        <v>#VALUE!</v>
      </c>
    </row>
    <row r="1067" spans="32:39" hidden="1">
      <c r="AF1067" t="e">
        <v>#VALUE!</v>
      </c>
      <c r="AG1067" t="e">
        <v>#VALUE!</v>
      </c>
      <c r="AH1067" t="e">
        <v>#VALUE!</v>
      </c>
      <c r="AI1067" t="e">
        <v>#VALUE!</v>
      </c>
      <c r="AJ1067" t="e">
        <v>#VALUE!</v>
      </c>
      <c r="AK1067" t="e">
        <v>#VALUE!</v>
      </c>
      <c r="AL1067" t="s">
        <v>105</v>
      </c>
      <c r="AM1067" t="e">
        <v>#VALUE!</v>
      </c>
    </row>
    <row r="1068" spans="32:39" hidden="1">
      <c r="AF1068" t="e">
        <v>#VALUE!</v>
      </c>
      <c r="AG1068" t="e">
        <v>#VALUE!</v>
      </c>
      <c r="AH1068" t="e">
        <v>#VALUE!</v>
      </c>
      <c r="AI1068" t="e">
        <v>#VALUE!</v>
      </c>
      <c r="AJ1068" t="e">
        <v>#VALUE!</v>
      </c>
      <c r="AK1068" t="e">
        <v>#VALUE!</v>
      </c>
      <c r="AL1068" t="s">
        <v>105</v>
      </c>
      <c r="AM1068" t="e">
        <v>#VALUE!</v>
      </c>
    </row>
    <row r="1069" spans="32:39" hidden="1">
      <c r="AF1069" t="e">
        <v>#VALUE!</v>
      </c>
      <c r="AG1069" t="e">
        <v>#VALUE!</v>
      </c>
      <c r="AH1069" t="e">
        <v>#VALUE!</v>
      </c>
      <c r="AI1069" t="e">
        <v>#VALUE!</v>
      </c>
      <c r="AJ1069" t="e">
        <v>#VALUE!</v>
      </c>
      <c r="AK1069" t="e">
        <v>#VALUE!</v>
      </c>
      <c r="AL1069" t="s">
        <v>105</v>
      </c>
      <c r="AM1069" t="e">
        <v>#VALUE!</v>
      </c>
    </row>
    <row r="1070" spans="32:39" hidden="1">
      <c r="AF1070" t="e">
        <v>#VALUE!</v>
      </c>
      <c r="AG1070" t="e">
        <v>#VALUE!</v>
      </c>
      <c r="AH1070" t="e">
        <v>#VALUE!</v>
      </c>
      <c r="AI1070" t="e">
        <v>#VALUE!</v>
      </c>
      <c r="AJ1070" t="e">
        <v>#VALUE!</v>
      </c>
      <c r="AK1070" t="e">
        <v>#VALUE!</v>
      </c>
      <c r="AL1070" t="s">
        <v>105</v>
      </c>
      <c r="AM1070" t="e">
        <v>#VALUE!</v>
      </c>
    </row>
    <row r="1071" spans="32:39" hidden="1">
      <c r="AF1071" t="e">
        <v>#VALUE!</v>
      </c>
      <c r="AG1071" t="e">
        <v>#VALUE!</v>
      </c>
      <c r="AH1071" t="e">
        <v>#VALUE!</v>
      </c>
      <c r="AI1071" t="e">
        <v>#VALUE!</v>
      </c>
      <c r="AJ1071" t="e">
        <v>#VALUE!</v>
      </c>
      <c r="AK1071" t="e">
        <v>#VALUE!</v>
      </c>
      <c r="AL1071" t="s">
        <v>105</v>
      </c>
      <c r="AM1071" t="e">
        <v>#VALUE!</v>
      </c>
    </row>
    <row r="1072" spans="32:39" hidden="1">
      <c r="AF1072" t="e">
        <v>#VALUE!</v>
      </c>
      <c r="AG1072" t="e">
        <v>#VALUE!</v>
      </c>
      <c r="AH1072" t="e">
        <v>#VALUE!</v>
      </c>
      <c r="AI1072" t="e">
        <v>#VALUE!</v>
      </c>
      <c r="AJ1072" t="e">
        <v>#VALUE!</v>
      </c>
      <c r="AK1072" t="e">
        <v>#VALUE!</v>
      </c>
      <c r="AL1072" t="s">
        <v>105</v>
      </c>
      <c r="AM1072" t="e">
        <v>#VALUE!</v>
      </c>
    </row>
    <row r="1073" spans="32:39" hidden="1">
      <c r="AF1073" t="e">
        <v>#VALUE!</v>
      </c>
      <c r="AG1073" t="e">
        <v>#VALUE!</v>
      </c>
      <c r="AH1073" t="e">
        <v>#VALUE!</v>
      </c>
      <c r="AI1073" t="e">
        <v>#VALUE!</v>
      </c>
      <c r="AJ1073" t="e">
        <v>#VALUE!</v>
      </c>
      <c r="AK1073" t="e">
        <v>#VALUE!</v>
      </c>
      <c r="AL1073" t="s">
        <v>105</v>
      </c>
      <c r="AM1073" t="e">
        <v>#VALUE!</v>
      </c>
    </row>
    <row r="1074" spans="32:39" hidden="1">
      <c r="AF1074" t="e">
        <v>#VALUE!</v>
      </c>
      <c r="AG1074" t="e">
        <v>#VALUE!</v>
      </c>
      <c r="AH1074" t="e">
        <v>#VALUE!</v>
      </c>
      <c r="AI1074" t="e">
        <v>#VALUE!</v>
      </c>
      <c r="AJ1074" t="e">
        <v>#VALUE!</v>
      </c>
      <c r="AK1074" t="e">
        <v>#VALUE!</v>
      </c>
      <c r="AL1074" t="s">
        <v>105</v>
      </c>
      <c r="AM1074" t="e">
        <v>#VALUE!</v>
      </c>
    </row>
    <row r="1075" spans="32:39" hidden="1">
      <c r="AF1075" t="e">
        <v>#VALUE!</v>
      </c>
      <c r="AG1075" t="e">
        <v>#VALUE!</v>
      </c>
      <c r="AH1075" t="e">
        <v>#VALUE!</v>
      </c>
      <c r="AI1075" t="e">
        <v>#VALUE!</v>
      </c>
      <c r="AJ1075" t="e">
        <v>#VALUE!</v>
      </c>
      <c r="AK1075" t="e">
        <v>#VALUE!</v>
      </c>
      <c r="AL1075" t="s">
        <v>105</v>
      </c>
      <c r="AM1075" t="e">
        <v>#VALUE!</v>
      </c>
    </row>
    <row r="1076" spans="32:39" hidden="1">
      <c r="AF1076" t="e">
        <v>#VALUE!</v>
      </c>
      <c r="AG1076" t="e">
        <v>#VALUE!</v>
      </c>
      <c r="AH1076" t="e">
        <v>#VALUE!</v>
      </c>
      <c r="AI1076" t="e">
        <v>#VALUE!</v>
      </c>
      <c r="AJ1076" t="e">
        <v>#VALUE!</v>
      </c>
      <c r="AK1076" t="e">
        <v>#VALUE!</v>
      </c>
      <c r="AL1076" t="s">
        <v>105</v>
      </c>
      <c r="AM1076" t="e">
        <v>#VALUE!</v>
      </c>
    </row>
    <row r="1077" spans="32:39" hidden="1">
      <c r="AF1077" t="e">
        <v>#VALUE!</v>
      </c>
      <c r="AG1077" t="e">
        <v>#VALUE!</v>
      </c>
      <c r="AH1077" t="e">
        <v>#VALUE!</v>
      </c>
      <c r="AI1077" t="e">
        <v>#VALUE!</v>
      </c>
      <c r="AJ1077" t="e">
        <v>#VALUE!</v>
      </c>
      <c r="AK1077" t="e">
        <v>#VALUE!</v>
      </c>
      <c r="AL1077" t="s">
        <v>105</v>
      </c>
      <c r="AM1077" t="e">
        <v>#VALUE!</v>
      </c>
    </row>
    <row r="1078" spans="32:39" hidden="1">
      <c r="AF1078" t="e">
        <v>#VALUE!</v>
      </c>
      <c r="AG1078" t="e">
        <v>#VALUE!</v>
      </c>
      <c r="AH1078" t="e">
        <v>#VALUE!</v>
      </c>
      <c r="AI1078" t="e">
        <v>#VALUE!</v>
      </c>
      <c r="AJ1078" t="e">
        <v>#VALUE!</v>
      </c>
      <c r="AK1078" t="e">
        <v>#VALUE!</v>
      </c>
      <c r="AL1078" t="s">
        <v>105</v>
      </c>
      <c r="AM1078" t="e">
        <v>#VALUE!</v>
      </c>
    </row>
    <row r="1079" spans="32:39" hidden="1">
      <c r="AF1079" t="e">
        <v>#VALUE!</v>
      </c>
      <c r="AG1079" t="e">
        <v>#VALUE!</v>
      </c>
      <c r="AH1079" t="e">
        <v>#VALUE!</v>
      </c>
      <c r="AI1079" t="e">
        <v>#VALUE!</v>
      </c>
      <c r="AJ1079" t="e">
        <v>#VALUE!</v>
      </c>
      <c r="AK1079" t="e">
        <v>#VALUE!</v>
      </c>
      <c r="AL1079" t="s">
        <v>105</v>
      </c>
      <c r="AM1079" t="e">
        <v>#VALUE!</v>
      </c>
    </row>
    <row r="1080" spans="32:39" hidden="1">
      <c r="AF1080" t="e">
        <v>#VALUE!</v>
      </c>
      <c r="AG1080" t="e">
        <v>#VALUE!</v>
      </c>
      <c r="AH1080" t="e">
        <v>#VALUE!</v>
      </c>
      <c r="AI1080" t="e">
        <v>#VALUE!</v>
      </c>
      <c r="AJ1080" t="e">
        <v>#VALUE!</v>
      </c>
      <c r="AK1080" t="e">
        <v>#VALUE!</v>
      </c>
      <c r="AL1080" t="s">
        <v>105</v>
      </c>
      <c r="AM1080" t="e">
        <v>#VALUE!</v>
      </c>
    </row>
    <row r="1081" spans="32:39" hidden="1">
      <c r="AF1081" t="e">
        <v>#VALUE!</v>
      </c>
      <c r="AG1081" t="e">
        <v>#VALUE!</v>
      </c>
      <c r="AH1081" t="e">
        <v>#VALUE!</v>
      </c>
      <c r="AI1081" t="e">
        <v>#VALUE!</v>
      </c>
      <c r="AJ1081" t="e">
        <v>#VALUE!</v>
      </c>
      <c r="AK1081" t="e">
        <v>#VALUE!</v>
      </c>
      <c r="AL1081" t="s">
        <v>105</v>
      </c>
      <c r="AM1081" t="e">
        <v>#VALUE!</v>
      </c>
    </row>
    <row r="1082" spans="32:39" hidden="1">
      <c r="AF1082" t="e">
        <v>#VALUE!</v>
      </c>
      <c r="AG1082" t="e">
        <v>#VALUE!</v>
      </c>
      <c r="AH1082" t="e">
        <v>#VALUE!</v>
      </c>
      <c r="AI1082" t="e">
        <v>#VALUE!</v>
      </c>
      <c r="AJ1082" t="e">
        <v>#VALUE!</v>
      </c>
      <c r="AK1082" t="e">
        <v>#VALUE!</v>
      </c>
      <c r="AL1082" t="s">
        <v>105</v>
      </c>
      <c r="AM1082" t="e">
        <v>#VALUE!</v>
      </c>
    </row>
    <row r="1083" spans="32:39" hidden="1">
      <c r="AF1083" t="e">
        <v>#VALUE!</v>
      </c>
      <c r="AG1083" t="e">
        <v>#VALUE!</v>
      </c>
      <c r="AH1083" t="e">
        <v>#VALUE!</v>
      </c>
      <c r="AI1083" t="e">
        <v>#VALUE!</v>
      </c>
      <c r="AJ1083" t="e">
        <v>#VALUE!</v>
      </c>
      <c r="AK1083" t="e">
        <v>#VALUE!</v>
      </c>
      <c r="AL1083" t="s">
        <v>105</v>
      </c>
      <c r="AM1083" t="e">
        <v>#VALUE!</v>
      </c>
    </row>
    <row r="1084" spans="32:39" hidden="1">
      <c r="AF1084" t="e">
        <v>#VALUE!</v>
      </c>
      <c r="AG1084" t="e">
        <v>#VALUE!</v>
      </c>
      <c r="AH1084" t="e">
        <v>#VALUE!</v>
      </c>
      <c r="AI1084" t="e">
        <v>#VALUE!</v>
      </c>
      <c r="AJ1084" t="e">
        <v>#VALUE!</v>
      </c>
      <c r="AK1084" t="e">
        <v>#VALUE!</v>
      </c>
      <c r="AL1084" t="s">
        <v>105</v>
      </c>
      <c r="AM1084" t="e">
        <v>#VALUE!</v>
      </c>
    </row>
    <row r="1085" spans="32:39" hidden="1">
      <c r="AF1085" t="e">
        <v>#VALUE!</v>
      </c>
      <c r="AG1085" t="e">
        <v>#VALUE!</v>
      </c>
      <c r="AH1085" t="e">
        <v>#VALUE!</v>
      </c>
      <c r="AI1085" t="e">
        <v>#VALUE!</v>
      </c>
      <c r="AJ1085" t="e">
        <v>#VALUE!</v>
      </c>
      <c r="AK1085" t="e">
        <v>#VALUE!</v>
      </c>
      <c r="AL1085" t="s">
        <v>105</v>
      </c>
      <c r="AM1085" t="e">
        <v>#VALUE!</v>
      </c>
    </row>
    <row r="1086" spans="32:39" hidden="1">
      <c r="AF1086" t="e">
        <v>#VALUE!</v>
      </c>
      <c r="AG1086" t="e">
        <v>#VALUE!</v>
      </c>
      <c r="AH1086" t="e">
        <v>#VALUE!</v>
      </c>
      <c r="AI1086" t="e">
        <v>#VALUE!</v>
      </c>
      <c r="AJ1086" t="e">
        <v>#VALUE!</v>
      </c>
      <c r="AK1086" t="e">
        <v>#VALUE!</v>
      </c>
      <c r="AL1086" t="s">
        <v>105</v>
      </c>
      <c r="AM1086" t="e">
        <v>#VALUE!</v>
      </c>
    </row>
    <row r="1087" spans="32:39" hidden="1">
      <c r="AF1087" t="e">
        <v>#VALUE!</v>
      </c>
      <c r="AG1087" t="e">
        <v>#VALUE!</v>
      </c>
      <c r="AH1087" t="e">
        <v>#VALUE!</v>
      </c>
      <c r="AI1087" t="e">
        <v>#VALUE!</v>
      </c>
      <c r="AJ1087" t="e">
        <v>#VALUE!</v>
      </c>
      <c r="AK1087" t="e">
        <v>#VALUE!</v>
      </c>
      <c r="AL1087" t="s">
        <v>105</v>
      </c>
      <c r="AM1087" t="e">
        <v>#VALUE!</v>
      </c>
    </row>
    <row r="1088" spans="32:39" hidden="1">
      <c r="AF1088" t="e">
        <v>#VALUE!</v>
      </c>
      <c r="AG1088" t="e">
        <v>#VALUE!</v>
      </c>
      <c r="AH1088" t="e">
        <v>#VALUE!</v>
      </c>
      <c r="AI1088" t="e">
        <v>#VALUE!</v>
      </c>
      <c r="AJ1088" t="e">
        <v>#VALUE!</v>
      </c>
      <c r="AK1088" t="e">
        <v>#VALUE!</v>
      </c>
      <c r="AL1088" t="s">
        <v>105</v>
      </c>
      <c r="AM1088" t="e">
        <v>#VALUE!</v>
      </c>
    </row>
    <row r="1089" spans="32:39" hidden="1">
      <c r="AF1089" t="e">
        <v>#VALUE!</v>
      </c>
      <c r="AG1089" t="e">
        <v>#VALUE!</v>
      </c>
      <c r="AH1089" t="e">
        <v>#VALUE!</v>
      </c>
      <c r="AI1089" t="e">
        <v>#VALUE!</v>
      </c>
      <c r="AJ1089" t="e">
        <v>#VALUE!</v>
      </c>
      <c r="AK1089" t="e">
        <v>#VALUE!</v>
      </c>
      <c r="AL1089" t="s">
        <v>105</v>
      </c>
      <c r="AM1089" t="e">
        <v>#VALUE!</v>
      </c>
    </row>
    <row r="1090" spans="32:39" hidden="1">
      <c r="AF1090" t="e">
        <v>#VALUE!</v>
      </c>
      <c r="AG1090" t="e">
        <v>#VALUE!</v>
      </c>
      <c r="AH1090" t="e">
        <v>#VALUE!</v>
      </c>
      <c r="AI1090" t="e">
        <v>#VALUE!</v>
      </c>
      <c r="AJ1090" t="e">
        <v>#VALUE!</v>
      </c>
      <c r="AK1090" t="e">
        <v>#VALUE!</v>
      </c>
      <c r="AL1090" t="s">
        <v>105</v>
      </c>
      <c r="AM1090" t="e">
        <v>#VALUE!</v>
      </c>
    </row>
    <row r="1091" spans="32:39" hidden="1">
      <c r="AF1091" t="e">
        <v>#VALUE!</v>
      </c>
      <c r="AG1091" t="e">
        <v>#VALUE!</v>
      </c>
      <c r="AH1091" t="e">
        <v>#VALUE!</v>
      </c>
      <c r="AI1091" t="e">
        <v>#VALUE!</v>
      </c>
      <c r="AJ1091" t="e">
        <v>#VALUE!</v>
      </c>
      <c r="AK1091" t="e">
        <v>#VALUE!</v>
      </c>
      <c r="AL1091" t="s">
        <v>105</v>
      </c>
      <c r="AM1091" t="e">
        <v>#VALUE!</v>
      </c>
    </row>
    <row r="1092" spans="32:39" hidden="1">
      <c r="AF1092" t="e">
        <v>#VALUE!</v>
      </c>
      <c r="AG1092" t="e">
        <v>#VALUE!</v>
      </c>
      <c r="AH1092" t="e">
        <v>#VALUE!</v>
      </c>
      <c r="AI1092" t="e">
        <v>#VALUE!</v>
      </c>
      <c r="AJ1092" t="e">
        <v>#VALUE!</v>
      </c>
      <c r="AK1092" t="e">
        <v>#VALUE!</v>
      </c>
      <c r="AL1092" t="s">
        <v>105</v>
      </c>
      <c r="AM1092" t="e">
        <v>#VALUE!</v>
      </c>
    </row>
    <row r="1093" spans="32:39" hidden="1">
      <c r="AF1093" t="e">
        <v>#VALUE!</v>
      </c>
      <c r="AG1093" t="e">
        <v>#VALUE!</v>
      </c>
      <c r="AH1093" t="e">
        <v>#VALUE!</v>
      </c>
      <c r="AI1093" t="e">
        <v>#VALUE!</v>
      </c>
      <c r="AJ1093" t="e">
        <v>#VALUE!</v>
      </c>
      <c r="AK1093" t="e">
        <v>#VALUE!</v>
      </c>
      <c r="AL1093" t="s">
        <v>105</v>
      </c>
      <c r="AM1093" t="e">
        <v>#VALUE!</v>
      </c>
    </row>
    <row r="1094" spans="32:39" hidden="1">
      <c r="AF1094" t="e">
        <v>#VALUE!</v>
      </c>
      <c r="AG1094" t="e">
        <v>#VALUE!</v>
      </c>
      <c r="AH1094" t="e">
        <v>#VALUE!</v>
      </c>
      <c r="AI1094" t="e">
        <v>#VALUE!</v>
      </c>
      <c r="AJ1094" t="e">
        <v>#VALUE!</v>
      </c>
      <c r="AK1094" t="e">
        <v>#VALUE!</v>
      </c>
      <c r="AL1094" t="s">
        <v>105</v>
      </c>
      <c r="AM1094" t="e">
        <v>#VALUE!</v>
      </c>
    </row>
    <row r="1095" spans="32:39" hidden="1">
      <c r="AF1095" t="e">
        <v>#VALUE!</v>
      </c>
      <c r="AG1095" t="e">
        <v>#VALUE!</v>
      </c>
      <c r="AH1095" t="e">
        <v>#VALUE!</v>
      </c>
      <c r="AI1095" t="e">
        <v>#VALUE!</v>
      </c>
      <c r="AJ1095" t="e">
        <v>#VALUE!</v>
      </c>
      <c r="AK1095" t="e">
        <v>#VALUE!</v>
      </c>
      <c r="AL1095" t="s">
        <v>105</v>
      </c>
      <c r="AM1095" t="e">
        <v>#VALUE!</v>
      </c>
    </row>
    <row r="1096" spans="32:39" hidden="1">
      <c r="AF1096" t="e">
        <v>#VALUE!</v>
      </c>
      <c r="AG1096" t="e">
        <v>#VALUE!</v>
      </c>
      <c r="AH1096" t="e">
        <v>#VALUE!</v>
      </c>
      <c r="AI1096" t="e">
        <v>#VALUE!</v>
      </c>
      <c r="AJ1096" t="e">
        <v>#VALUE!</v>
      </c>
      <c r="AK1096" t="e">
        <v>#VALUE!</v>
      </c>
      <c r="AL1096" t="s">
        <v>105</v>
      </c>
      <c r="AM1096" t="e">
        <v>#VALUE!</v>
      </c>
    </row>
    <row r="1097" spans="32:39" hidden="1">
      <c r="AF1097" t="e">
        <v>#VALUE!</v>
      </c>
      <c r="AG1097" t="e">
        <v>#VALUE!</v>
      </c>
      <c r="AH1097" t="e">
        <v>#VALUE!</v>
      </c>
      <c r="AI1097" t="e">
        <v>#VALUE!</v>
      </c>
      <c r="AJ1097" t="e">
        <v>#VALUE!</v>
      </c>
      <c r="AK1097" t="e">
        <v>#VALUE!</v>
      </c>
      <c r="AL1097" t="s">
        <v>105</v>
      </c>
      <c r="AM1097" t="e">
        <v>#VALUE!</v>
      </c>
    </row>
    <row r="1098" spans="32:39" hidden="1">
      <c r="AF1098" t="e">
        <v>#VALUE!</v>
      </c>
      <c r="AG1098" t="e">
        <v>#VALUE!</v>
      </c>
      <c r="AH1098" t="e">
        <v>#VALUE!</v>
      </c>
      <c r="AI1098" t="e">
        <v>#VALUE!</v>
      </c>
      <c r="AJ1098" t="e">
        <v>#VALUE!</v>
      </c>
      <c r="AK1098" t="e">
        <v>#VALUE!</v>
      </c>
      <c r="AL1098" t="s">
        <v>105</v>
      </c>
      <c r="AM1098" t="e">
        <v>#VALUE!</v>
      </c>
    </row>
    <row r="1099" spans="32:39" hidden="1">
      <c r="AF1099" t="e">
        <v>#VALUE!</v>
      </c>
      <c r="AG1099" t="e">
        <v>#VALUE!</v>
      </c>
      <c r="AH1099" t="e">
        <v>#VALUE!</v>
      </c>
      <c r="AI1099" t="e">
        <v>#VALUE!</v>
      </c>
      <c r="AJ1099" t="e">
        <v>#VALUE!</v>
      </c>
      <c r="AK1099" t="e">
        <v>#VALUE!</v>
      </c>
      <c r="AL1099" t="s">
        <v>105</v>
      </c>
      <c r="AM1099" t="e">
        <v>#VALUE!</v>
      </c>
    </row>
    <row r="1100" spans="32:39" hidden="1">
      <c r="AF1100" t="e">
        <v>#VALUE!</v>
      </c>
      <c r="AG1100" t="e">
        <v>#VALUE!</v>
      </c>
      <c r="AH1100" t="e">
        <v>#VALUE!</v>
      </c>
      <c r="AI1100" t="e">
        <v>#VALUE!</v>
      </c>
      <c r="AJ1100" t="e">
        <v>#VALUE!</v>
      </c>
      <c r="AK1100" t="e">
        <v>#VALUE!</v>
      </c>
      <c r="AL1100" t="s">
        <v>105</v>
      </c>
      <c r="AM1100" t="e">
        <v>#VALUE!</v>
      </c>
    </row>
    <row r="1101" spans="32:39" hidden="1">
      <c r="AF1101" t="e">
        <v>#VALUE!</v>
      </c>
      <c r="AG1101" t="e">
        <v>#VALUE!</v>
      </c>
      <c r="AH1101" t="e">
        <v>#VALUE!</v>
      </c>
      <c r="AI1101" t="e">
        <v>#VALUE!</v>
      </c>
      <c r="AJ1101" t="e">
        <v>#VALUE!</v>
      </c>
      <c r="AK1101" t="e">
        <v>#VALUE!</v>
      </c>
      <c r="AL1101" t="s">
        <v>105</v>
      </c>
      <c r="AM1101" t="e">
        <v>#VALUE!</v>
      </c>
    </row>
    <row r="1102" spans="32:39" hidden="1">
      <c r="AF1102" t="e">
        <v>#VALUE!</v>
      </c>
      <c r="AG1102" t="e">
        <v>#VALUE!</v>
      </c>
      <c r="AH1102" t="e">
        <v>#VALUE!</v>
      </c>
      <c r="AI1102" t="e">
        <v>#VALUE!</v>
      </c>
      <c r="AJ1102" t="e">
        <v>#VALUE!</v>
      </c>
      <c r="AK1102" t="e">
        <v>#VALUE!</v>
      </c>
      <c r="AL1102" t="s">
        <v>105</v>
      </c>
      <c r="AM1102" t="e">
        <v>#VALUE!</v>
      </c>
    </row>
    <row r="1103" spans="32:39" hidden="1">
      <c r="AF1103" t="e">
        <v>#VALUE!</v>
      </c>
      <c r="AG1103" t="e">
        <v>#VALUE!</v>
      </c>
      <c r="AH1103" t="e">
        <v>#VALUE!</v>
      </c>
      <c r="AI1103" t="e">
        <v>#VALUE!</v>
      </c>
      <c r="AJ1103" t="e">
        <v>#VALUE!</v>
      </c>
      <c r="AK1103" t="e">
        <v>#VALUE!</v>
      </c>
      <c r="AL1103" t="s">
        <v>105</v>
      </c>
      <c r="AM1103" t="e">
        <v>#VALUE!</v>
      </c>
    </row>
    <row r="1104" spans="32:39" hidden="1">
      <c r="AF1104" t="e">
        <v>#VALUE!</v>
      </c>
      <c r="AG1104" t="e">
        <v>#VALUE!</v>
      </c>
      <c r="AH1104" t="e">
        <v>#VALUE!</v>
      </c>
      <c r="AI1104" t="e">
        <v>#VALUE!</v>
      </c>
      <c r="AJ1104" t="e">
        <v>#VALUE!</v>
      </c>
      <c r="AK1104" t="e">
        <v>#VALUE!</v>
      </c>
      <c r="AL1104" t="s">
        <v>105</v>
      </c>
      <c r="AM1104" t="e">
        <v>#VALUE!</v>
      </c>
    </row>
    <row r="1105" spans="32:39" hidden="1">
      <c r="AF1105" t="e">
        <v>#VALUE!</v>
      </c>
      <c r="AG1105" t="e">
        <v>#VALUE!</v>
      </c>
      <c r="AH1105" t="e">
        <v>#VALUE!</v>
      </c>
      <c r="AI1105" t="e">
        <v>#VALUE!</v>
      </c>
      <c r="AJ1105" t="e">
        <v>#VALUE!</v>
      </c>
      <c r="AK1105" t="e">
        <v>#VALUE!</v>
      </c>
      <c r="AL1105" t="s">
        <v>105</v>
      </c>
      <c r="AM1105" t="e">
        <v>#VALUE!</v>
      </c>
    </row>
    <row r="1106" spans="32:39" hidden="1">
      <c r="AF1106" t="e">
        <v>#VALUE!</v>
      </c>
      <c r="AG1106" t="e">
        <v>#VALUE!</v>
      </c>
      <c r="AH1106" t="e">
        <v>#VALUE!</v>
      </c>
      <c r="AI1106" t="e">
        <v>#VALUE!</v>
      </c>
      <c r="AJ1106" t="e">
        <v>#VALUE!</v>
      </c>
      <c r="AK1106" t="e">
        <v>#VALUE!</v>
      </c>
      <c r="AL1106" t="s">
        <v>105</v>
      </c>
      <c r="AM1106" t="e">
        <v>#VALUE!</v>
      </c>
    </row>
    <row r="1107" spans="32:39" hidden="1">
      <c r="AF1107" t="e">
        <v>#VALUE!</v>
      </c>
      <c r="AG1107" t="e">
        <v>#VALUE!</v>
      </c>
      <c r="AH1107" t="e">
        <v>#VALUE!</v>
      </c>
      <c r="AI1107" t="e">
        <v>#VALUE!</v>
      </c>
      <c r="AJ1107" t="e">
        <v>#VALUE!</v>
      </c>
      <c r="AK1107" t="e">
        <v>#VALUE!</v>
      </c>
      <c r="AL1107" t="s">
        <v>105</v>
      </c>
      <c r="AM1107" t="e">
        <v>#VALUE!</v>
      </c>
    </row>
    <row r="1108" spans="32:39" hidden="1">
      <c r="AF1108" t="e">
        <v>#VALUE!</v>
      </c>
      <c r="AG1108" t="e">
        <v>#VALUE!</v>
      </c>
      <c r="AH1108" t="e">
        <v>#VALUE!</v>
      </c>
      <c r="AI1108" t="e">
        <v>#VALUE!</v>
      </c>
      <c r="AJ1108" t="e">
        <v>#VALUE!</v>
      </c>
      <c r="AK1108" t="e">
        <v>#VALUE!</v>
      </c>
      <c r="AL1108" t="s">
        <v>105</v>
      </c>
      <c r="AM1108" t="e">
        <v>#VALUE!</v>
      </c>
    </row>
    <row r="1109" spans="32:39" hidden="1">
      <c r="AF1109" t="e">
        <v>#VALUE!</v>
      </c>
      <c r="AG1109" t="e">
        <v>#VALUE!</v>
      </c>
      <c r="AH1109" t="e">
        <v>#VALUE!</v>
      </c>
      <c r="AI1109" t="e">
        <v>#VALUE!</v>
      </c>
      <c r="AJ1109" t="e">
        <v>#VALUE!</v>
      </c>
      <c r="AK1109" t="e">
        <v>#VALUE!</v>
      </c>
      <c r="AL1109" t="s">
        <v>105</v>
      </c>
      <c r="AM1109" t="e">
        <v>#VALUE!</v>
      </c>
    </row>
    <row r="1110" spans="32:39" hidden="1">
      <c r="AF1110" t="e">
        <v>#VALUE!</v>
      </c>
      <c r="AG1110" t="e">
        <v>#VALUE!</v>
      </c>
      <c r="AH1110" t="e">
        <v>#VALUE!</v>
      </c>
      <c r="AI1110" t="e">
        <v>#VALUE!</v>
      </c>
      <c r="AJ1110" t="e">
        <v>#VALUE!</v>
      </c>
      <c r="AK1110" t="e">
        <v>#VALUE!</v>
      </c>
      <c r="AL1110" t="s">
        <v>105</v>
      </c>
      <c r="AM1110" t="e">
        <v>#VALUE!</v>
      </c>
    </row>
    <row r="1111" spans="32:39" hidden="1">
      <c r="AF1111" t="e">
        <v>#VALUE!</v>
      </c>
      <c r="AG1111" t="e">
        <v>#VALUE!</v>
      </c>
      <c r="AH1111" t="e">
        <v>#VALUE!</v>
      </c>
      <c r="AI1111" t="e">
        <v>#VALUE!</v>
      </c>
      <c r="AJ1111" t="e">
        <v>#VALUE!</v>
      </c>
      <c r="AK1111" t="e">
        <v>#VALUE!</v>
      </c>
      <c r="AL1111" t="s">
        <v>105</v>
      </c>
      <c r="AM1111" t="e">
        <v>#VALUE!</v>
      </c>
    </row>
    <row r="1112" spans="32:39" hidden="1">
      <c r="AF1112" t="e">
        <v>#VALUE!</v>
      </c>
      <c r="AG1112" t="e">
        <v>#VALUE!</v>
      </c>
      <c r="AH1112" t="e">
        <v>#VALUE!</v>
      </c>
      <c r="AI1112" t="e">
        <v>#VALUE!</v>
      </c>
      <c r="AJ1112" t="e">
        <v>#VALUE!</v>
      </c>
      <c r="AK1112" t="e">
        <v>#VALUE!</v>
      </c>
      <c r="AL1112" t="s">
        <v>105</v>
      </c>
      <c r="AM1112" t="e">
        <v>#VALUE!</v>
      </c>
    </row>
    <row r="1113" spans="32:39" hidden="1">
      <c r="AF1113" t="e">
        <v>#VALUE!</v>
      </c>
      <c r="AG1113" t="e">
        <v>#VALUE!</v>
      </c>
      <c r="AH1113" t="e">
        <v>#VALUE!</v>
      </c>
      <c r="AI1113" t="e">
        <v>#VALUE!</v>
      </c>
      <c r="AJ1113" t="e">
        <v>#VALUE!</v>
      </c>
      <c r="AK1113" t="e">
        <v>#VALUE!</v>
      </c>
      <c r="AL1113" t="s">
        <v>105</v>
      </c>
      <c r="AM1113" t="e">
        <v>#VALUE!</v>
      </c>
    </row>
    <row r="1114" spans="32:39" hidden="1">
      <c r="AF1114" t="e">
        <v>#VALUE!</v>
      </c>
      <c r="AG1114" t="e">
        <v>#VALUE!</v>
      </c>
      <c r="AH1114" t="e">
        <v>#VALUE!</v>
      </c>
      <c r="AI1114" t="e">
        <v>#VALUE!</v>
      </c>
      <c r="AJ1114" t="e">
        <v>#VALUE!</v>
      </c>
      <c r="AK1114" t="e">
        <v>#VALUE!</v>
      </c>
      <c r="AL1114" t="s">
        <v>105</v>
      </c>
      <c r="AM1114" t="e">
        <v>#VALUE!</v>
      </c>
    </row>
    <row r="1115" spans="32:39" hidden="1">
      <c r="AF1115" t="e">
        <v>#VALUE!</v>
      </c>
      <c r="AG1115" t="e">
        <v>#VALUE!</v>
      </c>
      <c r="AH1115" t="e">
        <v>#VALUE!</v>
      </c>
      <c r="AI1115" t="e">
        <v>#VALUE!</v>
      </c>
      <c r="AJ1115" t="e">
        <v>#VALUE!</v>
      </c>
      <c r="AK1115" t="e">
        <v>#VALUE!</v>
      </c>
      <c r="AL1115" t="s">
        <v>105</v>
      </c>
      <c r="AM1115" t="e">
        <v>#VALUE!</v>
      </c>
    </row>
    <row r="1116" spans="32:39" hidden="1">
      <c r="AF1116" t="e">
        <v>#VALUE!</v>
      </c>
      <c r="AG1116" t="e">
        <v>#VALUE!</v>
      </c>
      <c r="AH1116" t="e">
        <v>#VALUE!</v>
      </c>
      <c r="AI1116" t="e">
        <v>#VALUE!</v>
      </c>
      <c r="AJ1116" t="e">
        <v>#VALUE!</v>
      </c>
      <c r="AK1116" t="e">
        <v>#VALUE!</v>
      </c>
      <c r="AL1116" t="s">
        <v>105</v>
      </c>
      <c r="AM1116" t="e">
        <v>#VALUE!</v>
      </c>
    </row>
    <row r="1117" spans="32:39" hidden="1">
      <c r="AF1117" t="e">
        <v>#VALUE!</v>
      </c>
      <c r="AG1117" t="e">
        <v>#VALUE!</v>
      </c>
      <c r="AH1117" t="e">
        <v>#VALUE!</v>
      </c>
      <c r="AI1117" t="e">
        <v>#VALUE!</v>
      </c>
      <c r="AJ1117" t="e">
        <v>#VALUE!</v>
      </c>
      <c r="AK1117" t="e">
        <v>#VALUE!</v>
      </c>
      <c r="AL1117" t="s">
        <v>105</v>
      </c>
      <c r="AM1117" t="e">
        <v>#VALUE!</v>
      </c>
    </row>
    <row r="1118" spans="32:39" hidden="1">
      <c r="AF1118" t="e">
        <v>#VALUE!</v>
      </c>
      <c r="AG1118" t="e">
        <v>#VALUE!</v>
      </c>
      <c r="AH1118" t="e">
        <v>#VALUE!</v>
      </c>
      <c r="AI1118" t="e">
        <v>#VALUE!</v>
      </c>
      <c r="AJ1118" t="e">
        <v>#VALUE!</v>
      </c>
      <c r="AK1118" t="e">
        <v>#VALUE!</v>
      </c>
      <c r="AL1118" t="s">
        <v>105</v>
      </c>
      <c r="AM1118" t="e">
        <v>#VALUE!</v>
      </c>
    </row>
    <row r="1119" spans="32:39" hidden="1">
      <c r="AF1119" t="e">
        <v>#VALUE!</v>
      </c>
      <c r="AG1119" t="e">
        <v>#VALUE!</v>
      </c>
      <c r="AH1119" t="e">
        <v>#VALUE!</v>
      </c>
      <c r="AI1119" t="e">
        <v>#VALUE!</v>
      </c>
      <c r="AJ1119" t="e">
        <v>#VALUE!</v>
      </c>
      <c r="AK1119" t="e">
        <v>#VALUE!</v>
      </c>
      <c r="AL1119" t="s">
        <v>105</v>
      </c>
      <c r="AM1119" t="e">
        <v>#VALUE!</v>
      </c>
    </row>
    <row r="1120" spans="32:39" hidden="1">
      <c r="AF1120" t="e">
        <v>#VALUE!</v>
      </c>
      <c r="AG1120" t="e">
        <v>#VALUE!</v>
      </c>
      <c r="AH1120" t="e">
        <v>#VALUE!</v>
      </c>
      <c r="AI1120" t="e">
        <v>#VALUE!</v>
      </c>
      <c r="AJ1120" t="e">
        <v>#VALUE!</v>
      </c>
      <c r="AK1120" t="e">
        <v>#VALUE!</v>
      </c>
      <c r="AL1120" t="s">
        <v>105</v>
      </c>
      <c r="AM1120" t="e">
        <v>#VALUE!</v>
      </c>
    </row>
    <row r="1121" spans="32:39" hidden="1">
      <c r="AF1121" t="e">
        <v>#VALUE!</v>
      </c>
      <c r="AG1121" t="e">
        <v>#VALUE!</v>
      </c>
      <c r="AH1121" t="e">
        <v>#VALUE!</v>
      </c>
      <c r="AI1121" t="e">
        <v>#VALUE!</v>
      </c>
      <c r="AJ1121" t="e">
        <v>#VALUE!</v>
      </c>
      <c r="AK1121" t="e">
        <v>#VALUE!</v>
      </c>
      <c r="AL1121" t="s">
        <v>105</v>
      </c>
      <c r="AM1121" t="e">
        <v>#VALUE!</v>
      </c>
    </row>
    <row r="1122" spans="32:39" hidden="1">
      <c r="AF1122" t="e">
        <v>#VALUE!</v>
      </c>
      <c r="AG1122" t="e">
        <v>#VALUE!</v>
      </c>
      <c r="AH1122" t="e">
        <v>#VALUE!</v>
      </c>
      <c r="AI1122" t="e">
        <v>#VALUE!</v>
      </c>
      <c r="AJ1122" t="e">
        <v>#VALUE!</v>
      </c>
      <c r="AK1122" t="e">
        <v>#VALUE!</v>
      </c>
      <c r="AL1122" t="s">
        <v>105</v>
      </c>
      <c r="AM1122" t="e">
        <v>#VALUE!</v>
      </c>
    </row>
    <row r="1123" spans="32:39" hidden="1">
      <c r="AF1123" t="e">
        <v>#VALUE!</v>
      </c>
      <c r="AG1123" t="e">
        <v>#VALUE!</v>
      </c>
      <c r="AH1123" t="e">
        <v>#VALUE!</v>
      </c>
      <c r="AI1123" t="e">
        <v>#VALUE!</v>
      </c>
      <c r="AJ1123" t="e">
        <v>#VALUE!</v>
      </c>
      <c r="AK1123" t="e">
        <v>#VALUE!</v>
      </c>
      <c r="AL1123" t="s">
        <v>105</v>
      </c>
      <c r="AM1123" t="e">
        <v>#VALUE!</v>
      </c>
    </row>
    <row r="1124" spans="32:39" hidden="1">
      <c r="AF1124" t="e">
        <v>#VALUE!</v>
      </c>
      <c r="AG1124" t="e">
        <v>#VALUE!</v>
      </c>
      <c r="AH1124" t="e">
        <v>#VALUE!</v>
      </c>
      <c r="AI1124" t="e">
        <v>#VALUE!</v>
      </c>
      <c r="AJ1124" t="e">
        <v>#VALUE!</v>
      </c>
      <c r="AK1124" t="e">
        <v>#VALUE!</v>
      </c>
      <c r="AL1124" t="s">
        <v>105</v>
      </c>
      <c r="AM1124" t="e">
        <v>#VALUE!</v>
      </c>
    </row>
    <row r="1125" spans="32:39" hidden="1">
      <c r="AF1125" t="e">
        <v>#VALUE!</v>
      </c>
      <c r="AG1125" t="e">
        <v>#VALUE!</v>
      </c>
      <c r="AH1125" t="e">
        <v>#VALUE!</v>
      </c>
      <c r="AI1125" t="e">
        <v>#VALUE!</v>
      </c>
      <c r="AJ1125" t="e">
        <v>#VALUE!</v>
      </c>
      <c r="AK1125" t="e">
        <v>#VALUE!</v>
      </c>
      <c r="AL1125" t="s">
        <v>105</v>
      </c>
      <c r="AM1125" t="e">
        <v>#VALUE!</v>
      </c>
    </row>
    <row r="1126" spans="32:39" hidden="1">
      <c r="AF1126" t="e">
        <v>#VALUE!</v>
      </c>
      <c r="AG1126" t="e">
        <v>#VALUE!</v>
      </c>
      <c r="AH1126" t="e">
        <v>#VALUE!</v>
      </c>
      <c r="AI1126" t="e">
        <v>#VALUE!</v>
      </c>
      <c r="AJ1126" t="e">
        <v>#VALUE!</v>
      </c>
      <c r="AK1126" t="e">
        <v>#VALUE!</v>
      </c>
      <c r="AL1126" t="s">
        <v>105</v>
      </c>
      <c r="AM1126" t="e">
        <v>#VALUE!</v>
      </c>
    </row>
    <row r="1127" spans="32:39" hidden="1">
      <c r="AF1127" t="e">
        <v>#VALUE!</v>
      </c>
      <c r="AG1127" t="e">
        <v>#VALUE!</v>
      </c>
      <c r="AH1127" t="e">
        <v>#VALUE!</v>
      </c>
      <c r="AI1127" t="e">
        <v>#VALUE!</v>
      </c>
      <c r="AJ1127" t="e">
        <v>#VALUE!</v>
      </c>
      <c r="AK1127" t="e">
        <v>#VALUE!</v>
      </c>
      <c r="AL1127" t="s">
        <v>105</v>
      </c>
      <c r="AM1127" t="e">
        <v>#VALUE!</v>
      </c>
    </row>
    <row r="1128" spans="32:39" hidden="1">
      <c r="AF1128" t="e">
        <v>#VALUE!</v>
      </c>
      <c r="AG1128" t="e">
        <v>#VALUE!</v>
      </c>
      <c r="AH1128" t="e">
        <v>#VALUE!</v>
      </c>
      <c r="AI1128" t="e">
        <v>#VALUE!</v>
      </c>
      <c r="AJ1128" t="e">
        <v>#VALUE!</v>
      </c>
      <c r="AK1128" t="e">
        <v>#VALUE!</v>
      </c>
      <c r="AL1128" t="s">
        <v>105</v>
      </c>
      <c r="AM1128" t="e">
        <v>#VALUE!</v>
      </c>
    </row>
    <row r="1129" spans="32:39" hidden="1">
      <c r="AF1129" t="e">
        <v>#VALUE!</v>
      </c>
      <c r="AG1129" t="e">
        <v>#VALUE!</v>
      </c>
      <c r="AH1129" t="e">
        <v>#VALUE!</v>
      </c>
      <c r="AI1129" t="e">
        <v>#VALUE!</v>
      </c>
      <c r="AJ1129" t="e">
        <v>#VALUE!</v>
      </c>
      <c r="AK1129" t="e">
        <v>#VALUE!</v>
      </c>
      <c r="AL1129" t="s">
        <v>105</v>
      </c>
      <c r="AM1129" t="e">
        <v>#VALUE!</v>
      </c>
    </row>
    <row r="1130" spans="32:39" hidden="1">
      <c r="AF1130" t="e">
        <v>#VALUE!</v>
      </c>
      <c r="AG1130" t="e">
        <v>#VALUE!</v>
      </c>
      <c r="AH1130" t="e">
        <v>#VALUE!</v>
      </c>
      <c r="AI1130" t="e">
        <v>#VALUE!</v>
      </c>
      <c r="AJ1130" t="e">
        <v>#VALUE!</v>
      </c>
      <c r="AK1130" t="e">
        <v>#VALUE!</v>
      </c>
      <c r="AL1130" t="s">
        <v>105</v>
      </c>
      <c r="AM1130" t="e">
        <v>#VALUE!</v>
      </c>
    </row>
    <row r="1131" spans="32:39" hidden="1">
      <c r="AF1131" t="e">
        <v>#VALUE!</v>
      </c>
      <c r="AG1131" t="e">
        <v>#VALUE!</v>
      </c>
      <c r="AH1131" t="e">
        <v>#VALUE!</v>
      </c>
      <c r="AI1131" t="e">
        <v>#VALUE!</v>
      </c>
      <c r="AJ1131" t="e">
        <v>#VALUE!</v>
      </c>
      <c r="AK1131" t="e">
        <v>#VALUE!</v>
      </c>
      <c r="AL1131" t="s">
        <v>105</v>
      </c>
      <c r="AM1131" t="e">
        <v>#VALUE!</v>
      </c>
    </row>
    <row r="1132" spans="32:39" hidden="1">
      <c r="AF1132" t="e">
        <v>#VALUE!</v>
      </c>
      <c r="AG1132" t="e">
        <v>#VALUE!</v>
      </c>
      <c r="AH1132" t="e">
        <v>#VALUE!</v>
      </c>
      <c r="AI1132" t="e">
        <v>#VALUE!</v>
      </c>
      <c r="AJ1132" t="e">
        <v>#VALUE!</v>
      </c>
      <c r="AK1132" t="e">
        <v>#VALUE!</v>
      </c>
      <c r="AL1132" t="s">
        <v>105</v>
      </c>
      <c r="AM1132" t="e">
        <v>#VALUE!</v>
      </c>
    </row>
    <row r="1133" spans="32:39" hidden="1">
      <c r="AF1133" t="e">
        <v>#VALUE!</v>
      </c>
      <c r="AG1133" t="e">
        <v>#VALUE!</v>
      </c>
      <c r="AH1133" t="e">
        <v>#VALUE!</v>
      </c>
      <c r="AI1133" t="e">
        <v>#VALUE!</v>
      </c>
      <c r="AJ1133" t="e">
        <v>#VALUE!</v>
      </c>
      <c r="AK1133" t="e">
        <v>#VALUE!</v>
      </c>
      <c r="AL1133" t="s">
        <v>105</v>
      </c>
      <c r="AM1133" t="e">
        <v>#VALUE!</v>
      </c>
    </row>
    <row r="1134" spans="32:39" hidden="1">
      <c r="AF1134" t="e">
        <v>#VALUE!</v>
      </c>
      <c r="AG1134" t="e">
        <v>#VALUE!</v>
      </c>
      <c r="AH1134" t="e">
        <v>#VALUE!</v>
      </c>
      <c r="AI1134" t="e">
        <v>#VALUE!</v>
      </c>
      <c r="AJ1134" t="e">
        <v>#VALUE!</v>
      </c>
      <c r="AK1134" t="e">
        <v>#VALUE!</v>
      </c>
      <c r="AL1134" t="s">
        <v>105</v>
      </c>
      <c r="AM1134" t="e">
        <v>#VALUE!</v>
      </c>
    </row>
    <row r="1135" spans="32:39" hidden="1">
      <c r="AF1135" t="e">
        <v>#VALUE!</v>
      </c>
      <c r="AG1135" t="e">
        <v>#VALUE!</v>
      </c>
      <c r="AH1135" t="e">
        <v>#VALUE!</v>
      </c>
      <c r="AI1135" t="e">
        <v>#VALUE!</v>
      </c>
      <c r="AJ1135" t="e">
        <v>#VALUE!</v>
      </c>
      <c r="AK1135" t="e">
        <v>#VALUE!</v>
      </c>
      <c r="AL1135" t="s">
        <v>105</v>
      </c>
      <c r="AM1135" t="e">
        <v>#VALUE!</v>
      </c>
    </row>
    <row r="1136" spans="32:39" hidden="1">
      <c r="AF1136" t="e">
        <v>#VALUE!</v>
      </c>
      <c r="AG1136" t="e">
        <v>#VALUE!</v>
      </c>
      <c r="AH1136" t="e">
        <v>#VALUE!</v>
      </c>
      <c r="AI1136" t="e">
        <v>#VALUE!</v>
      </c>
      <c r="AJ1136" t="e">
        <v>#VALUE!</v>
      </c>
      <c r="AK1136" t="e">
        <v>#VALUE!</v>
      </c>
      <c r="AL1136" t="s">
        <v>105</v>
      </c>
      <c r="AM1136" t="e">
        <v>#VALUE!</v>
      </c>
    </row>
    <row r="1137" spans="32:39" hidden="1">
      <c r="AF1137" t="e">
        <v>#VALUE!</v>
      </c>
      <c r="AG1137" t="e">
        <v>#VALUE!</v>
      </c>
      <c r="AH1137" t="e">
        <v>#VALUE!</v>
      </c>
      <c r="AI1137" t="e">
        <v>#VALUE!</v>
      </c>
      <c r="AJ1137" t="e">
        <v>#VALUE!</v>
      </c>
      <c r="AK1137" t="e">
        <v>#VALUE!</v>
      </c>
      <c r="AL1137" t="s">
        <v>105</v>
      </c>
      <c r="AM1137" t="e">
        <v>#VALUE!</v>
      </c>
    </row>
    <row r="1138" spans="32:39" hidden="1">
      <c r="AF1138" t="e">
        <v>#VALUE!</v>
      </c>
      <c r="AG1138" t="e">
        <v>#VALUE!</v>
      </c>
      <c r="AH1138" t="e">
        <v>#VALUE!</v>
      </c>
      <c r="AI1138" t="e">
        <v>#VALUE!</v>
      </c>
      <c r="AJ1138" t="e">
        <v>#VALUE!</v>
      </c>
      <c r="AK1138" t="e">
        <v>#VALUE!</v>
      </c>
      <c r="AL1138" t="s">
        <v>105</v>
      </c>
      <c r="AM1138" t="e">
        <v>#VALUE!</v>
      </c>
    </row>
    <row r="1139" spans="32:39" hidden="1">
      <c r="AF1139" t="e">
        <v>#VALUE!</v>
      </c>
      <c r="AG1139" t="e">
        <v>#VALUE!</v>
      </c>
      <c r="AH1139" t="e">
        <v>#VALUE!</v>
      </c>
      <c r="AI1139" t="e">
        <v>#VALUE!</v>
      </c>
      <c r="AJ1139" t="e">
        <v>#VALUE!</v>
      </c>
      <c r="AK1139" t="e">
        <v>#VALUE!</v>
      </c>
      <c r="AL1139" t="s">
        <v>105</v>
      </c>
      <c r="AM1139" t="e">
        <v>#VALUE!</v>
      </c>
    </row>
    <row r="1140" spans="32:39" hidden="1">
      <c r="AF1140" t="e">
        <v>#VALUE!</v>
      </c>
      <c r="AG1140" t="e">
        <v>#VALUE!</v>
      </c>
      <c r="AH1140" t="e">
        <v>#VALUE!</v>
      </c>
      <c r="AI1140" t="e">
        <v>#VALUE!</v>
      </c>
      <c r="AJ1140" t="e">
        <v>#VALUE!</v>
      </c>
      <c r="AK1140" t="e">
        <v>#VALUE!</v>
      </c>
      <c r="AL1140" t="s">
        <v>105</v>
      </c>
      <c r="AM1140" t="e">
        <v>#VALUE!</v>
      </c>
    </row>
    <row r="1141" spans="32:39" hidden="1">
      <c r="AF1141" t="e">
        <v>#VALUE!</v>
      </c>
      <c r="AG1141" t="e">
        <v>#VALUE!</v>
      </c>
      <c r="AH1141" t="e">
        <v>#VALUE!</v>
      </c>
      <c r="AI1141" t="e">
        <v>#VALUE!</v>
      </c>
      <c r="AJ1141" t="e">
        <v>#VALUE!</v>
      </c>
      <c r="AK1141" t="e">
        <v>#VALUE!</v>
      </c>
      <c r="AL1141" t="s">
        <v>105</v>
      </c>
      <c r="AM1141" t="e">
        <v>#VALUE!</v>
      </c>
    </row>
    <row r="1142" spans="32:39" hidden="1">
      <c r="AF1142" t="e">
        <v>#VALUE!</v>
      </c>
      <c r="AG1142" t="e">
        <v>#VALUE!</v>
      </c>
      <c r="AH1142" t="e">
        <v>#VALUE!</v>
      </c>
      <c r="AI1142" t="e">
        <v>#VALUE!</v>
      </c>
      <c r="AJ1142" t="e">
        <v>#VALUE!</v>
      </c>
      <c r="AK1142" t="e">
        <v>#VALUE!</v>
      </c>
      <c r="AL1142" t="s">
        <v>105</v>
      </c>
      <c r="AM1142" t="e">
        <v>#VALUE!</v>
      </c>
    </row>
    <row r="1143" spans="32:39" hidden="1">
      <c r="AF1143" t="e">
        <v>#VALUE!</v>
      </c>
      <c r="AG1143" t="e">
        <v>#VALUE!</v>
      </c>
      <c r="AH1143" t="e">
        <v>#VALUE!</v>
      </c>
      <c r="AI1143" t="e">
        <v>#VALUE!</v>
      </c>
      <c r="AJ1143" t="e">
        <v>#VALUE!</v>
      </c>
      <c r="AK1143" t="e">
        <v>#VALUE!</v>
      </c>
      <c r="AL1143" t="s">
        <v>105</v>
      </c>
      <c r="AM1143" t="e">
        <v>#VALUE!</v>
      </c>
    </row>
    <row r="1144" spans="32:39" hidden="1">
      <c r="AF1144" t="e">
        <v>#VALUE!</v>
      </c>
      <c r="AG1144" t="e">
        <v>#VALUE!</v>
      </c>
      <c r="AH1144" t="e">
        <v>#VALUE!</v>
      </c>
      <c r="AI1144" t="e">
        <v>#VALUE!</v>
      </c>
      <c r="AJ1144" t="e">
        <v>#VALUE!</v>
      </c>
      <c r="AK1144" t="e">
        <v>#VALUE!</v>
      </c>
      <c r="AL1144" t="s">
        <v>105</v>
      </c>
      <c r="AM1144" t="e">
        <v>#VALUE!</v>
      </c>
    </row>
    <row r="1145" spans="32:39" hidden="1">
      <c r="AF1145" t="e">
        <v>#VALUE!</v>
      </c>
      <c r="AG1145" t="e">
        <v>#VALUE!</v>
      </c>
      <c r="AH1145" t="e">
        <v>#VALUE!</v>
      </c>
      <c r="AI1145" t="e">
        <v>#VALUE!</v>
      </c>
      <c r="AJ1145" t="e">
        <v>#VALUE!</v>
      </c>
      <c r="AK1145" t="e">
        <v>#VALUE!</v>
      </c>
      <c r="AL1145" t="s">
        <v>105</v>
      </c>
      <c r="AM1145" t="e">
        <v>#VALUE!</v>
      </c>
    </row>
    <row r="1146" spans="32:39" hidden="1">
      <c r="AF1146" t="e">
        <v>#VALUE!</v>
      </c>
      <c r="AG1146" t="e">
        <v>#VALUE!</v>
      </c>
      <c r="AH1146" t="e">
        <v>#VALUE!</v>
      </c>
      <c r="AI1146" t="e">
        <v>#VALUE!</v>
      </c>
      <c r="AJ1146" t="e">
        <v>#VALUE!</v>
      </c>
      <c r="AK1146" t="e">
        <v>#VALUE!</v>
      </c>
      <c r="AL1146" t="s">
        <v>105</v>
      </c>
      <c r="AM1146" t="e">
        <v>#VALUE!</v>
      </c>
    </row>
    <row r="1147" spans="32:39" hidden="1">
      <c r="AF1147" t="e">
        <v>#VALUE!</v>
      </c>
      <c r="AG1147" t="e">
        <v>#VALUE!</v>
      </c>
      <c r="AH1147" t="e">
        <v>#VALUE!</v>
      </c>
      <c r="AI1147" t="e">
        <v>#VALUE!</v>
      </c>
      <c r="AJ1147" t="e">
        <v>#VALUE!</v>
      </c>
      <c r="AK1147" t="e">
        <v>#VALUE!</v>
      </c>
      <c r="AL1147" t="s">
        <v>105</v>
      </c>
      <c r="AM1147" t="e">
        <v>#VALUE!</v>
      </c>
    </row>
    <row r="1148" spans="32:39" hidden="1">
      <c r="AF1148" t="e">
        <v>#VALUE!</v>
      </c>
      <c r="AG1148" t="e">
        <v>#VALUE!</v>
      </c>
      <c r="AH1148" t="e">
        <v>#VALUE!</v>
      </c>
      <c r="AI1148" t="e">
        <v>#VALUE!</v>
      </c>
      <c r="AJ1148" t="e">
        <v>#VALUE!</v>
      </c>
      <c r="AK1148" t="e">
        <v>#VALUE!</v>
      </c>
      <c r="AL1148" t="s">
        <v>105</v>
      </c>
      <c r="AM1148" t="e">
        <v>#VALUE!</v>
      </c>
    </row>
    <row r="1149" spans="32:39" hidden="1">
      <c r="AF1149" t="e">
        <v>#VALUE!</v>
      </c>
      <c r="AG1149" t="e">
        <v>#VALUE!</v>
      </c>
      <c r="AH1149" t="e">
        <v>#VALUE!</v>
      </c>
      <c r="AI1149" t="e">
        <v>#VALUE!</v>
      </c>
      <c r="AJ1149" t="e">
        <v>#VALUE!</v>
      </c>
      <c r="AK1149" t="e">
        <v>#VALUE!</v>
      </c>
      <c r="AL1149" t="s">
        <v>105</v>
      </c>
      <c r="AM1149" t="e">
        <v>#VALUE!</v>
      </c>
    </row>
    <row r="1150" spans="32:39" hidden="1">
      <c r="AF1150" t="e">
        <v>#VALUE!</v>
      </c>
      <c r="AG1150" t="e">
        <v>#VALUE!</v>
      </c>
      <c r="AH1150" t="e">
        <v>#VALUE!</v>
      </c>
      <c r="AI1150" t="e">
        <v>#VALUE!</v>
      </c>
      <c r="AJ1150" t="e">
        <v>#VALUE!</v>
      </c>
      <c r="AK1150" t="e">
        <v>#VALUE!</v>
      </c>
      <c r="AL1150" t="s">
        <v>105</v>
      </c>
      <c r="AM1150" t="e">
        <v>#VALUE!</v>
      </c>
    </row>
    <row r="1151" spans="32:39" hidden="1">
      <c r="AF1151" t="e">
        <v>#VALUE!</v>
      </c>
      <c r="AG1151" t="e">
        <v>#VALUE!</v>
      </c>
      <c r="AH1151" t="e">
        <v>#VALUE!</v>
      </c>
      <c r="AI1151" t="e">
        <v>#VALUE!</v>
      </c>
      <c r="AJ1151" t="e">
        <v>#VALUE!</v>
      </c>
      <c r="AK1151" t="e">
        <v>#VALUE!</v>
      </c>
      <c r="AL1151" t="s">
        <v>105</v>
      </c>
      <c r="AM1151" t="e">
        <v>#VALUE!</v>
      </c>
    </row>
    <row r="1152" spans="32:39" hidden="1">
      <c r="AF1152" t="e">
        <v>#VALUE!</v>
      </c>
      <c r="AG1152" t="e">
        <v>#VALUE!</v>
      </c>
      <c r="AH1152" t="e">
        <v>#VALUE!</v>
      </c>
      <c r="AI1152" t="e">
        <v>#VALUE!</v>
      </c>
      <c r="AJ1152" t="e">
        <v>#VALUE!</v>
      </c>
      <c r="AK1152" t="e">
        <v>#VALUE!</v>
      </c>
      <c r="AL1152" t="s">
        <v>105</v>
      </c>
      <c r="AM1152" t="e">
        <v>#VALUE!</v>
      </c>
    </row>
    <row r="1153" spans="32:39" hidden="1">
      <c r="AF1153" t="e">
        <v>#VALUE!</v>
      </c>
      <c r="AG1153" t="e">
        <v>#VALUE!</v>
      </c>
      <c r="AH1153" t="e">
        <v>#VALUE!</v>
      </c>
      <c r="AI1153" t="e">
        <v>#VALUE!</v>
      </c>
      <c r="AJ1153" t="e">
        <v>#VALUE!</v>
      </c>
      <c r="AK1153" t="e">
        <v>#VALUE!</v>
      </c>
      <c r="AL1153" t="s">
        <v>105</v>
      </c>
      <c r="AM1153" t="e">
        <v>#VALUE!</v>
      </c>
    </row>
    <row r="1154" spans="32:39" hidden="1">
      <c r="AF1154" t="e">
        <v>#VALUE!</v>
      </c>
      <c r="AG1154" t="e">
        <v>#VALUE!</v>
      </c>
      <c r="AH1154" t="e">
        <v>#VALUE!</v>
      </c>
      <c r="AI1154" t="e">
        <v>#VALUE!</v>
      </c>
      <c r="AJ1154" t="e">
        <v>#VALUE!</v>
      </c>
      <c r="AK1154" t="e">
        <v>#VALUE!</v>
      </c>
      <c r="AL1154" t="s">
        <v>105</v>
      </c>
      <c r="AM1154" t="e">
        <v>#VALUE!</v>
      </c>
    </row>
    <row r="1155" spans="32:39" hidden="1">
      <c r="AF1155" t="e">
        <v>#VALUE!</v>
      </c>
      <c r="AG1155" t="e">
        <v>#VALUE!</v>
      </c>
      <c r="AH1155" t="e">
        <v>#VALUE!</v>
      </c>
      <c r="AI1155" t="e">
        <v>#VALUE!</v>
      </c>
      <c r="AJ1155" t="e">
        <v>#VALUE!</v>
      </c>
      <c r="AK1155" t="e">
        <v>#VALUE!</v>
      </c>
      <c r="AL1155" t="s">
        <v>105</v>
      </c>
      <c r="AM1155" t="e">
        <v>#VALUE!</v>
      </c>
    </row>
    <row r="1156" spans="32:39" hidden="1">
      <c r="AF1156" t="e">
        <v>#VALUE!</v>
      </c>
      <c r="AG1156" t="e">
        <v>#VALUE!</v>
      </c>
      <c r="AH1156" t="e">
        <v>#VALUE!</v>
      </c>
      <c r="AI1156" t="e">
        <v>#VALUE!</v>
      </c>
      <c r="AJ1156" t="e">
        <v>#VALUE!</v>
      </c>
      <c r="AK1156" t="e">
        <v>#VALUE!</v>
      </c>
      <c r="AL1156" t="s">
        <v>105</v>
      </c>
      <c r="AM1156" t="e">
        <v>#VALUE!</v>
      </c>
    </row>
    <row r="1157" spans="32:39" hidden="1">
      <c r="AF1157" t="e">
        <v>#VALUE!</v>
      </c>
      <c r="AG1157" t="e">
        <v>#VALUE!</v>
      </c>
      <c r="AH1157" t="e">
        <v>#VALUE!</v>
      </c>
      <c r="AI1157" t="e">
        <v>#VALUE!</v>
      </c>
      <c r="AJ1157" t="e">
        <v>#VALUE!</v>
      </c>
      <c r="AK1157" t="e">
        <v>#VALUE!</v>
      </c>
      <c r="AL1157" t="s">
        <v>105</v>
      </c>
      <c r="AM1157" t="e">
        <v>#VALUE!</v>
      </c>
    </row>
    <row r="1158" spans="32:39" hidden="1">
      <c r="AF1158" t="e">
        <v>#VALUE!</v>
      </c>
      <c r="AG1158" t="e">
        <v>#VALUE!</v>
      </c>
      <c r="AH1158" t="e">
        <v>#VALUE!</v>
      </c>
      <c r="AI1158" t="e">
        <v>#VALUE!</v>
      </c>
      <c r="AJ1158" t="e">
        <v>#VALUE!</v>
      </c>
      <c r="AK1158" t="e">
        <v>#VALUE!</v>
      </c>
      <c r="AL1158" t="s">
        <v>105</v>
      </c>
      <c r="AM1158" t="e">
        <v>#VALUE!</v>
      </c>
    </row>
    <row r="1159" spans="32:39" hidden="1">
      <c r="AF1159" t="e">
        <v>#VALUE!</v>
      </c>
      <c r="AG1159" t="e">
        <v>#VALUE!</v>
      </c>
      <c r="AH1159" t="e">
        <v>#VALUE!</v>
      </c>
      <c r="AI1159" t="e">
        <v>#VALUE!</v>
      </c>
      <c r="AJ1159" t="e">
        <v>#VALUE!</v>
      </c>
      <c r="AK1159" t="e">
        <v>#VALUE!</v>
      </c>
      <c r="AL1159" t="s">
        <v>105</v>
      </c>
      <c r="AM1159" t="e">
        <v>#VALUE!</v>
      </c>
    </row>
    <row r="1160" spans="32:39" hidden="1">
      <c r="AF1160" t="e">
        <v>#VALUE!</v>
      </c>
      <c r="AG1160" t="e">
        <v>#VALUE!</v>
      </c>
      <c r="AH1160" t="e">
        <v>#VALUE!</v>
      </c>
      <c r="AI1160" t="e">
        <v>#VALUE!</v>
      </c>
      <c r="AJ1160" t="e">
        <v>#VALUE!</v>
      </c>
      <c r="AK1160" t="e">
        <v>#VALUE!</v>
      </c>
      <c r="AL1160" t="s">
        <v>105</v>
      </c>
      <c r="AM1160" t="e">
        <v>#VALUE!</v>
      </c>
    </row>
    <row r="1161" spans="32:39" hidden="1">
      <c r="AF1161" t="e">
        <v>#VALUE!</v>
      </c>
      <c r="AG1161" t="e">
        <v>#VALUE!</v>
      </c>
      <c r="AH1161" t="e">
        <v>#VALUE!</v>
      </c>
      <c r="AI1161" t="e">
        <v>#VALUE!</v>
      </c>
      <c r="AJ1161" t="e">
        <v>#VALUE!</v>
      </c>
      <c r="AK1161" t="e">
        <v>#VALUE!</v>
      </c>
      <c r="AL1161" t="s">
        <v>105</v>
      </c>
      <c r="AM1161" t="e">
        <v>#VALUE!</v>
      </c>
    </row>
    <row r="1162" spans="32:39" hidden="1">
      <c r="AF1162" t="e">
        <v>#VALUE!</v>
      </c>
      <c r="AG1162" t="e">
        <v>#VALUE!</v>
      </c>
      <c r="AH1162" t="e">
        <v>#VALUE!</v>
      </c>
      <c r="AI1162" t="e">
        <v>#VALUE!</v>
      </c>
      <c r="AJ1162" t="e">
        <v>#VALUE!</v>
      </c>
      <c r="AK1162" t="e">
        <v>#VALUE!</v>
      </c>
      <c r="AL1162" t="s">
        <v>105</v>
      </c>
      <c r="AM1162" t="e">
        <v>#VALUE!</v>
      </c>
    </row>
    <row r="1163" spans="32:39" hidden="1">
      <c r="AF1163" t="e">
        <v>#VALUE!</v>
      </c>
      <c r="AG1163" t="e">
        <v>#VALUE!</v>
      </c>
      <c r="AH1163" t="e">
        <v>#VALUE!</v>
      </c>
      <c r="AI1163" t="e">
        <v>#VALUE!</v>
      </c>
      <c r="AJ1163" t="e">
        <v>#VALUE!</v>
      </c>
      <c r="AK1163" t="e">
        <v>#VALUE!</v>
      </c>
      <c r="AL1163" t="s">
        <v>105</v>
      </c>
      <c r="AM1163" t="e">
        <v>#VALUE!</v>
      </c>
    </row>
    <row r="1164" spans="32:39" hidden="1">
      <c r="AF1164" t="e">
        <v>#VALUE!</v>
      </c>
      <c r="AG1164" t="e">
        <v>#VALUE!</v>
      </c>
      <c r="AH1164" t="e">
        <v>#VALUE!</v>
      </c>
      <c r="AI1164" t="e">
        <v>#VALUE!</v>
      </c>
      <c r="AJ1164" t="e">
        <v>#VALUE!</v>
      </c>
      <c r="AK1164" t="e">
        <v>#VALUE!</v>
      </c>
      <c r="AL1164" t="s">
        <v>105</v>
      </c>
      <c r="AM1164" t="e">
        <v>#VALUE!</v>
      </c>
    </row>
    <row r="1165" spans="32:39" hidden="1">
      <c r="AF1165" t="e">
        <v>#VALUE!</v>
      </c>
      <c r="AG1165" t="e">
        <v>#VALUE!</v>
      </c>
      <c r="AH1165" t="e">
        <v>#VALUE!</v>
      </c>
      <c r="AI1165" t="e">
        <v>#VALUE!</v>
      </c>
      <c r="AJ1165" t="e">
        <v>#VALUE!</v>
      </c>
      <c r="AK1165" t="e">
        <v>#VALUE!</v>
      </c>
      <c r="AL1165" t="s">
        <v>105</v>
      </c>
      <c r="AM1165" t="e">
        <v>#VALUE!</v>
      </c>
    </row>
    <row r="1166" spans="32:39" hidden="1">
      <c r="AF1166" t="e">
        <v>#VALUE!</v>
      </c>
      <c r="AG1166" t="e">
        <v>#VALUE!</v>
      </c>
      <c r="AH1166" t="e">
        <v>#VALUE!</v>
      </c>
      <c r="AI1166" t="e">
        <v>#VALUE!</v>
      </c>
      <c r="AJ1166" t="e">
        <v>#VALUE!</v>
      </c>
      <c r="AK1166" t="e">
        <v>#VALUE!</v>
      </c>
      <c r="AL1166" t="s">
        <v>105</v>
      </c>
      <c r="AM1166" t="e">
        <v>#VALUE!</v>
      </c>
    </row>
    <row r="1167" spans="32:39" hidden="1">
      <c r="AF1167" t="e">
        <v>#VALUE!</v>
      </c>
      <c r="AG1167" t="e">
        <v>#VALUE!</v>
      </c>
      <c r="AH1167" t="e">
        <v>#VALUE!</v>
      </c>
      <c r="AI1167" t="e">
        <v>#VALUE!</v>
      </c>
      <c r="AJ1167" t="e">
        <v>#VALUE!</v>
      </c>
      <c r="AK1167" t="e">
        <v>#VALUE!</v>
      </c>
      <c r="AL1167" t="s">
        <v>105</v>
      </c>
      <c r="AM1167" t="e">
        <v>#VALUE!</v>
      </c>
    </row>
    <row r="1168" spans="32:39" hidden="1">
      <c r="AF1168" t="e">
        <v>#VALUE!</v>
      </c>
      <c r="AG1168" t="e">
        <v>#VALUE!</v>
      </c>
      <c r="AH1168" t="e">
        <v>#VALUE!</v>
      </c>
      <c r="AI1168" t="e">
        <v>#VALUE!</v>
      </c>
      <c r="AJ1168" t="e">
        <v>#VALUE!</v>
      </c>
      <c r="AK1168" t="e">
        <v>#VALUE!</v>
      </c>
      <c r="AL1168" t="s">
        <v>105</v>
      </c>
      <c r="AM1168" t="e">
        <v>#VALUE!</v>
      </c>
    </row>
    <row r="1169" spans="32:39" hidden="1">
      <c r="AF1169" t="e">
        <v>#VALUE!</v>
      </c>
      <c r="AG1169" t="e">
        <v>#VALUE!</v>
      </c>
      <c r="AH1169" t="e">
        <v>#VALUE!</v>
      </c>
      <c r="AI1169" t="e">
        <v>#VALUE!</v>
      </c>
      <c r="AJ1169" t="e">
        <v>#VALUE!</v>
      </c>
      <c r="AK1169" t="e">
        <v>#VALUE!</v>
      </c>
      <c r="AL1169" t="s">
        <v>105</v>
      </c>
      <c r="AM1169" t="e">
        <v>#VALUE!</v>
      </c>
    </row>
    <row r="1170" spans="32:39" hidden="1">
      <c r="AF1170" t="e">
        <v>#VALUE!</v>
      </c>
      <c r="AG1170" t="e">
        <v>#VALUE!</v>
      </c>
      <c r="AH1170" t="e">
        <v>#VALUE!</v>
      </c>
      <c r="AI1170" t="e">
        <v>#VALUE!</v>
      </c>
      <c r="AJ1170" t="e">
        <v>#VALUE!</v>
      </c>
      <c r="AK1170" t="e">
        <v>#VALUE!</v>
      </c>
      <c r="AL1170" t="s">
        <v>105</v>
      </c>
      <c r="AM1170" t="e">
        <v>#VALUE!</v>
      </c>
    </row>
    <row r="1171" spans="32:39" hidden="1">
      <c r="AF1171" t="e">
        <v>#VALUE!</v>
      </c>
      <c r="AG1171" t="e">
        <v>#VALUE!</v>
      </c>
      <c r="AH1171" t="e">
        <v>#VALUE!</v>
      </c>
      <c r="AI1171" t="e">
        <v>#VALUE!</v>
      </c>
      <c r="AJ1171" t="e">
        <v>#VALUE!</v>
      </c>
      <c r="AK1171" t="e">
        <v>#VALUE!</v>
      </c>
      <c r="AL1171" t="s">
        <v>105</v>
      </c>
      <c r="AM1171" t="e">
        <v>#VALUE!</v>
      </c>
    </row>
    <row r="1172" spans="32:39" hidden="1">
      <c r="AF1172" t="e">
        <v>#VALUE!</v>
      </c>
      <c r="AG1172" t="e">
        <v>#VALUE!</v>
      </c>
      <c r="AH1172" t="e">
        <v>#VALUE!</v>
      </c>
      <c r="AI1172" t="e">
        <v>#VALUE!</v>
      </c>
      <c r="AJ1172" t="e">
        <v>#VALUE!</v>
      </c>
      <c r="AK1172" t="e">
        <v>#VALUE!</v>
      </c>
      <c r="AL1172" t="s">
        <v>105</v>
      </c>
      <c r="AM1172" t="e">
        <v>#VALUE!</v>
      </c>
    </row>
    <row r="1173" spans="32:39" hidden="1">
      <c r="AF1173" t="e">
        <v>#VALUE!</v>
      </c>
      <c r="AG1173" t="e">
        <v>#VALUE!</v>
      </c>
      <c r="AH1173" t="e">
        <v>#VALUE!</v>
      </c>
      <c r="AI1173" t="e">
        <v>#VALUE!</v>
      </c>
      <c r="AJ1173" t="e">
        <v>#VALUE!</v>
      </c>
      <c r="AK1173" t="e">
        <v>#VALUE!</v>
      </c>
      <c r="AL1173" t="s">
        <v>105</v>
      </c>
      <c r="AM1173" t="e">
        <v>#VALUE!</v>
      </c>
    </row>
    <row r="1174" spans="32:39" hidden="1">
      <c r="AF1174" t="e">
        <v>#VALUE!</v>
      </c>
      <c r="AG1174" t="e">
        <v>#VALUE!</v>
      </c>
      <c r="AH1174" t="e">
        <v>#VALUE!</v>
      </c>
      <c r="AI1174" t="e">
        <v>#VALUE!</v>
      </c>
      <c r="AJ1174" t="e">
        <v>#VALUE!</v>
      </c>
      <c r="AK1174" t="e">
        <v>#VALUE!</v>
      </c>
      <c r="AL1174" t="s">
        <v>105</v>
      </c>
      <c r="AM1174" t="e">
        <v>#VALUE!</v>
      </c>
    </row>
    <row r="1175" spans="32:39" hidden="1">
      <c r="AF1175" t="e">
        <v>#VALUE!</v>
      </c>
      <c r="AG1175" t="e">
        <v>#VALUE!</v>
      </c>
      <c r="AH1175" t="e">
        <v>#VALUE!</v>
      </c>
      <c r="AI1175" t="e">
        <v>#VALUE!</v>
      </c>
      <c r="AJ1175" t="e">
        <v>#VALUE!</v>
      </c>
      <c r="AK1175" t="e">
        <v>#VALUE!</v>
      </c>
      <c r="AL1175" t="s">
        <v>105</v>
      </c>
      <c r="AM1175" t="e">
        <v>#VALUE!</v>
      </c>
    </row>
    <row r="1176" spans="32:39" hidden="1">
      <c r="AF1176" t="e">
        <v>#VALUE!</v>
      </c>
      <c r="AG1176" t="e">
        <v>#VALUE!</v>
      </c>
      <c r="AH1176" t="e">
        <v>#VALUE!</v>
      </c>
      <c r="AI1176" t="e">
        <v>#VALUE!</v>
      </c>
      <c r="AJ1176" t="e">
        <v>#VALUE!</v>
      </c>
      <c r="AK1176" t="e">
        <v>#VALUE!</v>
      </c>
      <c r="AL1176" t="s">
        <v>105</v>
      </c>
      <c r="AM1176" t="e">
        <v>#VALUE!</v>
      </c>
    </row>
    <row r="1177" spans="32:39" hidden="1">
      <c r="AF1177" t="e">
        <v>#VALUE!</v>
      </c>
      <c r="AG1177" t="e">
        <v>#VALUE!</v>
      </c>
      <c r="AH1177" t="e">
        <v>#VALUE!</v>
      </c>
      <c r="AI1177" t="e">
        <v>#VALUE!</v>
      </c>
      <c r="AJ1177" t="e">
        <v>#VALUE!</v>
      </c>
      <c r="AK1177" t="e">
        <v>#VALUE!</v>
      </c>
      <c r="AL1177" t="s">
        <v>105</v>
      </c>
      <c r="AM1177" t="e">
        <v>#VALUE!</v>
      </c>
    </row>
    <row r="1178" spans="32:39" hidden="1">
      <c r="AF1178" t="e">
        <v>#VALUE!</v>
      </c>
      <c r="AG1178" t="e">
        <v>#VALUE!</v>
      </c>
      <c r="AH1178" t="e">
        <v>#VALUE!</v>
      </c>
      <c r="AI1178" t="e">
        <v>#VALUE!</v>
      </c>
      <c r="AJ1178" t="e">
        <v>#VALUE!</v>
      </c>
      <c r="AK1178" t="e">
        <v>#VALUE!</v>
      </c>
      <c r="AL1178" t="s">
        <v>105</v>
      </c>
      <c r="AM1178" t="e">
        <v>#VALUE!</v>
      </c>
    </row>
    <row r="1179" spans="32:39" hidden="1">
      <c r="AF1179" t="e">
        <v>#VALUE!</v>
      </c>
      <c r="AG1179" t="e">
        <v>#VALUE!</v>
      </c>
      <c r="AH1179" t="e">
        <v>#VALUE!</v>
      </c>
      <c r="AI1179" t="e">
        <v>#VALUE!</v>
      </c>
      <c r="AJ1179" t="e">
        <v>#VALUE!</v>
      </c>
      <c r="AK1179" t="e">
        <v>#VALUE!</v>
      </c>
      <c r="AL1179" t="s">
        <v>105</v>
      </c>
      <c r="AM1179" t="e">
        <v>#VALUE!</v>
      </c>
    </row>
    <row r="1180" spans="32:39" hidden="1">
      <c r="AF1180" t="e">
        <v>#VALUE!</v>
      </c>
      <c r="AG1180" t="e">
        <v>#VALUE!</v>
      </c>
      <c r="AH1180" t="e">
        <v>#VALUE!</v>
      </c>
      <c r="AI1180" t="e">
        <v>#VALUE!</v>
      </c>
      <c r="AJ1180" t="e">
        <v>#VALUE!</v>
      </c>
      <c r="AK1180" t="e">
        <v>#VALUE!</v>
      </c>
      <c r="AL1180" t="s">
        <v>105</v>
      </c>
      <c r="AM1180" t="e">
        <v>#VALUE!</v>
      </c>
    </row>
    <row r="1181" spans="32:39" hidden="1">
      <c r="AF1181" t="e">
        <v>#VALUE!</v>
      </c>
      <c r="AG1181" t="e">
        <v>#VALUE!</v>
      </c>
      <c r="AH1181" t="e">
        <v>#VALUE!</v>
      </c>
      <c r="AI1181" t="e">
        <v>#VALUE!</v>
      </c>
      <c r="AJ1181" t="e">
        <v>#VALUE!</v>
      </c>
      <c r="AK1181" t="e">
        <v>#VALUE!</v>
      </c>
      <c r="AL1181" t="s">
        <v>105</v>
      </c>
      <c r="AM1181" t="e">
        <v>#VALUE!</v>
      </c>
    </row>
    <row r="1182" spans="32:39" hidden="1">
      <c r="AF1182" t="e">
        <v>#VALUE!</v>
      </c>
      <c r="AG1182" t="e">
        <v>#VALUE!</v>
      </c>
      <c r="AH1182" t="e">
        <v>#VALUE!</v>
      </c>
      <c r="AI1182" t="e">
        <v>#VALUE!</v>
      </c>
      <c r="AJ1182" t="e">
        <v>#VALUE!</v>
      </c>
      <c r="AK1182" t="e">
        <v>#VALUE!</v>
      </c>
      <c r="AL1182" t="s">
        <v>105</v>
      </c>
      <c r="AM1182" t="e">
        <v>#VALUE!</v>
      </c>
    </row>
    <row r="1183" spans="32:39" hidden="1">
      <c r="AF1183" t="e">
        <v>#VALUE!</v>
      </c>
      <c r="AG1183" t="e">
        <v>#VALUE!</v>
      </c>
      <c r="AH1183" t="e">
        <v>#VALUE!</v>
      </c>
      <c r="AI1183" t="e">
        <v>#VALUE!</v>
      </c>
      <c r="AJ1183" t="e">
        <v>#VALUE!</v>
      </c>
      <c r="AK1183" t="e">
        <v>#VALUE!</v>
      </c>
      <c r="AL1183" t="s">
        <v>105</v>
      </c>
      <c r="AM1183" t="e">
        <v>#VALUE!</v>
      </c>
    </row>
    <row r="1184" spans="32:39" hidden="1">
      <c r="AF1184" t="e">
        <v>#VALUE!</v>
      </c>
      <c r="AG1184" t="e">
        <v>#VALUE!</v>
      </c>
      <c r="AH1184" t="e">
        <v>#VALUE!</v>
      </c>
      <c r="AI1184" t="e">
        <v>#VALUE!</v>
      </c>
      <c r="AJ1184" t="e">
        <v>#VALUE!</v>
      </c>
      <c r="AK1184" t="e">
        <v>#VALUE!</v>
      </c>
      <c r="AL1184" t="s">
        <v>105</v>
      </c>
      <c r="AM1184" t="e">
        <v>#VALUE!</v>
      </c>
    </row>
    <row r="1185" spans="32:39" hidden="1">
      <c r="AF1185" t="e">
        <v>#VALUE!</v>
      </c>
      <c r="AG1185" t="e">
        <v>#VALUE!</v>
      </c>
      <c r="AH1185" t="e">
        <v>#VALUE!</v>
      </c>
      <c r="AI1185" t="e">
        <v>#VALUE!</v>
      </c>
      <c r="AJ1185" t="e">
        <v>#VALUE!</v>
      </c>
      <c r="AK1185" t="e">
        <v>#VALUE!</v>
      </c>
      <c r="AL1185" t="s">
        <v>105</v>
      </c>
      <c r="AM1185" t="e">
        <v>#VALUE!</v>
      </c>
    </row>
    <row r="1186" spans="32:39" hidden="1">
      <c r="AF1186" t="e">
        <v>#VALUE!</v>
      </c>
      <c r="AG1186" t="e">
        <v>#VALUE!</v>
      </c>
      <c r="AH1186" t="e">
        <v>#VALUE!</v>
      </c>
      <c r="AI1186" t="e">
        <v>#VALUE!</v>
      </c>
      <c r="AJ1186" t="e">
        <v>#VALUE!</v>
      </c>
      <c r="AK1186" t="e">
        <v>#VALUE!</v>
      </c>
      <c r="AL1186" t="s">
        <v>105</v>
      </c>
      <c r="AM1186" t="e">
        <v>#VALUE!</v>
      </c>
    </row>
    <row r="1187" spans="32:39" hidden="1">
      <c r="AF1187" t="e">
        <v>#VALUE!</v>
      </c>
      <c r="AG1187" t="e">
        <v>#VALUE!</v>
      </c>
      <c r="AH1187" t="e">
        <v>#VALUE!</v>
      </c>
      <c r="AI1187" t="e">
        <v>#VALUE!</v>
      </c>
      <c r="AJ1187" t="e">
        <v>#VALUE!</v>
      </c>
      <c r="AK1187" t="e">
        <v>#VALUE!</v>
      </c>
      <c r="AL1187" t="s">
        <v>105</v>
      </c>
      <c r="AM1187" t="e">
        <v>#VALUE!</v>
      </c>
    </row>
    <row r="1188" spans="32:39" hidden="1">
      <c r="AF1188" t="e">
        <v>#VALUE!</v>
      </c>
      <c r="AG1188" t="e">
        <v>#VALUE!</v>
      </c>
      <c r="AH1188" t="e">
        <v>#VALUE!</v>
      </c>
      <c r="AI1188" t="e">
        <v>#VALUE!</v>
      </c>
      <c r="AJ1188" t="e">
        <v>#VALUE!</v>
      </c>
      <c r="AK1188" t="e">
        <v>#VALUE!</v>
      </c>
      <c r="AL1188" t="s">
        <v>105</v>
      </c>
      <c r="AM1188" t="e">
        <v>#VALUE!</v>
      </c>
    </row>
    <row r="1189" spans="32:39" hidden="1">
      <c r="AF1189" t="e">
        <v>#VALUE!</v>
      </c>
      <c r="AG1189" t="e">
        <v>#VALUE!</v>
      </c>
      <c r="AH1189" t="e">
        <v>#VALUE!</v>
      </c>
      <c r="AI1189" t="e">
        <v>#VALUE!</v>
      </c>
      <c r="AJ1189" t="e">
        <v>#VALUE!</v>
      </c>
      <c r="AK1189" t="e">
        <v>#VALUE!</v>
      </c>
      <c r="AL1189" t="s">
        <v>105</v>
      </c>
      <c r="AM1189" t="e">
        <v>#VALUE!</v>
      </c>
    </row>
    <row r="1190" spans="32:39" hidden="1">
      <c r="AF1190" t="e">
        <v>#VALUE!</v>
      </c>
      <c r="AG1190" t="e">
        <v>#VALUE!</v>
      </c>
      <c r="AH1190" t="e">
        <v>#VALUE!</v>
      </c>
      <c r="AI1190" t="e">
        <v>#VALUE!</v>
      </c>
      <c r="AJ1190" t="e">
        <v>#VALUE!</v>
      </c>
      <c r="AK1190" t="e">
        <v>#VALUE!</v>
      </c>
      <c r="AL1190" t="s">
        <v>105</v>
      </c>
      <c r="AM1190" t="e">
        <v>#VALUE!</v>
      </c>
    </row>
    <row r="1191" spans="32:39" hidden="1">
      <c r="AF1191" t="e">
        <v>#VALUE!</v>
      </c>
      <c r="AG1191" t="e">
        <v>#VALUE!</v>
      </c>
      <c r="AH1191" t="e">
        <v>#VALUE!</v>
      </c>
      <c r="AI1191" t="e">
        <v>#VALUE!</v>
      </c>
      <c r="AJ1191" t="e">
        <v>#VALUE!</v>
      </c>
      <c r="AK1191" t="e">
        <v>#VALUE!</v>
      </c>
      <c r="AL1191" t="s">
        <v>105</v>
      </c>
      <c r="AM1191" t="e">
        <v>#VALUE!</v>
      </c>
    </row>
    <row r="1192" spans="32:39" hidden="1">
      <c r="AF1192" t="e">
        <v>#VALUE!</v>
      </c>
      <c r="AG1192" t="e">
        <v>#VALUE!</v>
      </c>
      <c r="AH1192" t="e">
        <v>#VALUE!</v>
      </c>
      <c r="AI1192" t="e">
        <v>#VALUE!</v>
      </c>
      <c r="AJ1192" t="e">
        <v>#VALUE!</v>
      </c>
      <c r="AK1192" t="e">
        <v>#VALUE!</v>
      </c>
      <c r="AL1192" t="s">
        <v>105</v>
      </c>
      <c r="AM1192" t="e">
        <v>#VALUE!</v>
      </c>
    </row>
    <row r="1193" spans="32:39" hidden="1">
      <c r="AF1193" t="e">
        <v>#VALUE!</v>
      </c>
      <c r="AG1193" t="e">
        <v>#VALUE!</v>
      </c>
      <c r="AH1193" t="e">
        <v>#VALUE!</v>
      </c>
      <c r="AI1193" t="e">
        <v>#VALUE!</v>
      </c>
      <c r="AJ1193" t="e">
        <v>#VALUE!</v>
      </c>
      <c r="AK1193" t="e">
        <v>#VALUE!</v>
      </c>
      <c r="AL1193" t="s">
        <v>105</v>
      </c>
      <c r="AM1193" t="e">
        <v>#VALUE!</v>
      </c>
    </row>
    <row r="1194" spans="32:39" hidden="1">
      <c r="AF1194" t="e">
        <v>#VALUE!</v>
      </c>
      <c r="AG1194" t="e">
        <v>#VALUE!</v>
      </c>
      <c r="AH1194" t="e">
        <v>#VALUE!</v>
      </c>
      <c r="AI1194" t="e">
        <v>#VALUE!</v>
      </c>
      <c r="AJ1194" t="e">
        <v>#VALUE!</v>
      </c>
      <c r="AK1194" t="e">
        <v>#VALUE!</v>
      </c>
      <c r="AL1194" t="s">
        <v>105</v>
      </c>
      <c r="AM1194" t="e">
        <v>#VALUE!</v>
      </c>
    </row>
    <row r="1195" spans="32:39" hidden="1">
      <c r="AF1195" t="e">
        <v>#VALUE!</v>
      </c>
      <c r="AG1195" t="e">
        <v>#VALUE!</v>
      </c>
      <c r="AH1195" t="e">
        <v>#VALUE!</v>
      </c>
      <c r="AI1195" t="e">
        <v>#VALUE!</v>
      </c>
      <c r="AJ1195" t="e">
        <v>#VALUE!</v>
      </c>
      <c r="AK1195" t="e">
        <v>#VALUE!</v>
      </c>
      <c r="AL1195" t="s">
        <v>105</v>
      </c>
      <c r="AM1195" t="e">
        <v>#VALUE!</v>
      </c>
    </row>
    <row r="1196" spans="32:39" hidden="1">
      <c r="AF1196" t="e">
        <v>#VALUE!</v>
      </c>
      <c r="AG1196" t="e">
        <v>#VALUE!</v>
      </c>
      <c r="AH1196" t="e">
        <v>#VALUE!</v>
      </c>
      <c r="AI1196" t="e">
        <v>#VALUE!</v>
      </c>
      <c r="AJ1196" t="e">
        <v>#VALUE!</v>
      </c>
      <c r="AK1196" t="e">
        <v>#VALUE!</v>
      </c>
      <c r="AL1196" t="s">
        <v>105</v>
      </c>
      <c r="AM1196" t="e">
        <v>#VALUE!</v>
      </c>
    </row>
    <row r="1197" spans="32:39" hidden="1">
      <c r="AF1197" t="e">
        <v>#VALUE!</v>
      </c>
      <c r="AG1197" t="e">
        <v>#VALUE!</v>
      </c>
      <c r="AH1197" t="e">
        <v>#VALUE!</v>
      </c>
      <c r="AI1197" t="e">
        <v>#VALUE!</v>
      </c>
      <c r="AJ1197" t="e">
        <v>#VALUE!</v>
      </c>
      <c r="AK1197" t="e">
        <v>#VALUE!</v>
      </c>
      <c r="AL1197" t="s">
        <v>105</v>
      </c>
      <c r="AM1197" t="e">
        <v>#VALUE!</v>
      </c>
    </row>
    <row r="1198" spans="32:39" hidden="1">
      <c r="AF1198" t="e">
        <v>#VALUE!</v>
      </c>
      <c r="AG1198" t="e">
        <v>#VALUE!</v>
      </c>
      <c r="AH1198" t="e">
        <v>#VALUE!</v>
      </c>
      <c r="AI1198" t="e">
        <v>#VALUE!</v>
      </c>
      <c r="AJ1198" t="e">
        <v>#VALUE!</v>
      </c>
      <c r="AK1198" t="e">
        <v>#VALUE!</v>
      </c>
      <c r="AL1198" t="s">
        <v>105</v>
      </c>
      <c r="AM1198" t="e">
        <v>#VALUE!</v>
      </c>
    </row>
    <row r="1199" spans="32:39" hidden="1">
      <c r="AF1199" t="e">
        <v>#VALUE!</v>
      </c>
      <c r="AG1199" t="e">
        <v>#VALUE!</v>
      </c>
      <c r="AH1199" t="e">
        <v>#VALUE!</v>
      </c>
      <c r="AI1199" t="e">
        <v>#VALUE!</v>
      </c>
      <c r="AJ1199" t="e">
        <v>#VALUE!</v>
      </c>
      <c r="AK1199" t="e">
        <v>#VALUE!</v>
      </c>
      <c r="AL1199" t="s">
        <v>105</v>
      </c>
      <c r="AM1199" t="e">
        <v>#VALUE!</v>
      </c>
    </row>
    <row r="1200" spans="32:39" hidden="1">
      <c r="AF1200" t="e">
        <v>#VALUE!</v>
      </c>
      <c r="AG1200" t="e">
        <v>#VALUE!</v>
      </c>
      <c r="AH1200" t="e">
        <v>#VALUE!</v>
      </c>
      <c r="AI1200" t="e">
        <v>#VALUE!</v>
      </c>
      <c r="AJ1200" t="e">
        <v>#VALUE!</v>
      </c>
      <c r="AK1200" t="e">
        <v>#VALUE!</v>
      </c>
      <c r="AL1200" t="s">
        <v>105</v>
      </c>
      <c r="AM1200" t="e">
        <v>#VALUE!</v>
      </c>
    </row>
    <row r="1201" spans="32:39" hidden="1">
      <c r="AF1201" t="e">
        <v>#VALUE!</v>
      </c>
      <c r="AG1201" t="e">
        <v>#VALUE!</v>
      </c>
      <c r="AH1201" t="e">
        <v>#VALUE!</v>
      </c>
      <c r="AI1201" t="e">
        <v>#VALUE!</v>
      </c>
      <c r="AJ1201" t="e">
        <v>#VALUE!</v>
      </c>
      <c r="AK1201" t="e">
        <v>#VALUE!</v>
      </c>
      <c r="AL1201" t="s">
        <v>105</v>
      </c>
      <c r="AM1201" t="e">
        <v>#VALUE!</v>
      </c>
    </row>
    <row r="1202" spans="32:39" hidden="1">
      <c r="AF1202" t="e">
        <v>#VALUE!</v>
      </c>
      <c r="AG1202" t="e">
        <v>#VALUE!</v>
      </c>
      <c r="AH1202" t="e">
        <v>#VALUE!</v>
      </c>
      <c r="AI1202" t="e">
        <v>#VALUE!</v>
      </c>
      <c r="AJ1202" t="e">
        <v>#VALUE!</v>
      </c>
      <c r="AK1202" t="e">
        <v>#VALUE!</v>
      </c>
      <c r="AL1202" t="s">
        <v>105</v>
      </c>
      <c r="AM1202" t="e">
        <v>#VALUE!</v>
      </c>
    </row>
    <row r="1203" spans="32:39" hidden="1">
      <c r="AF1203" t="e">
        <v>#VALUE!</v>
      </c>
      <c r="AG1203" t="e">
        <v>#VALUE!</v>
      </c>
      <c r="AH1203" t="e">
        <v>#VALUE!</v>
      </c>
      <c r="AI1203" t="e">
        <v>#VALUE!</v>
      </c>
      <c r="AJ1203" t="e">
        <v>#VALUE!</v>
      </c>
      <c r="AK1203" t="e">
        <v>#VALUE!</v>
      </c>
      <c r="AL1203" t="s">
        <v>105</v>
      </c>
      <c r="AM1203" t="e">
        <v>#VALUE!</v>
      </c>
    </row>
    <row r="1204" spans="32:39" hidden="1">
      <c r="AF1204" t="e">
        <v>#VALUE!</v>
      </c>
      <c r="AG1204" t="e">
        <v>#VALUE!</v>
      </c>
      <c r="AH1204" t="e">
        <v>#VALUE!</v>
      </c>
      <c r="AI1204" t="e">
        <v>#VALUE!</v>
      </c>
      <c r="AJ1204" t="e">
        <v>#VALUE!</v>
      </c>
      <c r="AK1204" t="e">
        <v>#VALUE!</v>
      </c>
      <c r="AL1204" t="s">
        <v>105</v>
      </c>
      <c r="AM1204" t="e">
        <v>#VALUE!</v>
      </c>
    </row>
    <row r="1205" spans="32:39" hidden="1">
      <c r="AF1205" t="e">
        <v>#VALUE!</v>
      </c>
      <c r="AG1205" t="e">
        <v>#VALUE!</v>
      </c>
      <c r="AH1205" t="e">
        <v>#VALUE!</v>
      </c>
      <c r="AI1205" t="e">
        <v>#VALUE!</v>
      </c>
      <c r="AJ1205" t="e">
        <v>#VALUE!</v>
      </c>
      <c r="AK1205" t="e">
        <v>#VALUE!</v>
      </c>
      <c r="AL1205" t="s">
        <v>105</v>
      </c>
      <c r="AM1205" t="e">
        <v>#VALUE!</v>
      </c>
    </row>
    <row r="1206" spans="32:39" hidden="1">
      <c r="AF1206" t="e">
        <v>#VALUE!</v>
      </c>
      <c r="AG1206" t="e">
        <v>#VALUE!</v>
      </c>
      <c r="AH1206" t="e">
        <v>#VALUE!</v>
      </c>
      <c r="AI1206" t="e">
        <v>#VALUE!</v>
      </c>
      <c r="AJ1206" t="e">
        <v>#VALUE!</v>
      </c>
      <c r="AK1206" t="e">
        <v>#VALUE!</v>
      </c>
      <c r="AL1206" t="s">
        <v>105</v>
      </c>
      <c r="AM1206" t="e">
        <v>#VALUE!</v>
      </c>
    </row>
    <row r="1207" spans="32:39" hidden="1">
      <c r="AF1207" t="e">
        <v>#VALUE!</v>
      </c>
      <c r="AG1207" t="e">
        <v>#VALUE!</v>
      </c>
      <c r="AH1207" t="e">
        <v>#VALUE!</v>
      </c>
      <c r="AI1207" t="e">
        <v>#VALUE!</v>
      </c>
      <c r="AJ1207" t="e">
        <v>#VALUE!</v>
      </c>
      <c r="AK1207" t="e">
        <v>#VALUE!</v>
      </c>
      <c r="AL1207" t="s">
        <v>105</v>
      </c>
      <c r="AM1207" t="e">
        <v>#VALUE!</v>
      </c>
    </row>
    <row r="1208" spans="32:39" hidden="1">
      <c r="AF1208" t="e">
        <v>#VALUE!</v>
      </c>
      <c r="AG1208" t="e">
        <v>#VALUE!</v>
      </c>
      <c r="AH1208" t="e">
        <v>#VALUE!</v>
      </c>
      <c r="AI1208" t="e">
        <v>#VALUE!</v>
      </c>
      <c r="AJ1208" t="e">
        <v>#VALUE!</v>
      </c>
      <c r="AK1208" t="e">
        <v>#VALUE!</v>
      </c>
      <c r="AL1208" t="s">
        <v>105</v>
      </c>
      <c r="AM1208" t="e">
        <v>#VALUE!</v>
      </c>
    </row>
    <row r="1209" spans="32:39" hidden="1">
      <c r="AF1209" t="e">
        <v>#VALUE!</v>
      </c>
      <c r="AG1209" t="e">
        <v>#VALUE!</v>
      </c>
      <c r="AH1209" t="e">
        <v>#VALUE!</v>
      </c>
      <c r="AI1209" t="e">
        <v>#VALUE!</v>
      </c>
      <c r="AJ1209" t="e">
        <v>#VALUE!</v>
      </c>
      <c r="AK1209" t="e">
        <v>#VALUE!</v>
      </c>
      <c r="AL1209" t="s">
        <v>105</v>
      </c>
      <c r="AM1209" t="e">
        <v>#VALUE!</v>
      </c>
    </row>
    <row r="1210" spans="32:39" hidden="1">
      <c r="AF1210" t="e">
        <v>#VALUE!</v>
      </c>
      <c r="AG1210" t="e">
        <v>#VALUE!</v>
      </c>
      <c r="AH1210" t="e">
        <v>#VALUE!</v>
      </c>
      <c r="AI1210" t="e">
        <v>#VALUE!</v>
      </c>
      <c r="AJ1210" t="e">
        <v>#VALUE!</v>
      </c>
      <c r="AK1210" t="e">
        <v>#VALUE!</v>
      </c>
      <c r="AL1210" t="s">
        <v>105</v>
      </c>
      <c r="AM1210" t="e">
        <v>#VALUE!</v>
      </c>
    </row>
    <row r="1211" spans="32:39" hidden="1">
      <c r="AF1211" t="e">
        <v>#VALUE!</v>
      </c>
      <c r="AG1211" t="e">
        <v>#VALUE!</v>
      </c>
      <c r="AH1211" t="e">
        <v>#VALUE!</v>
      </c>
      <c r="AI1211" t="e">
        <v>#VALUE!</v>
      </c>
      <c r="AJ1211" t="e">
        <v>#VALUE!</v>
      </c>
      <c r="AK1211" t="e">
        <v>#VALUE!</v>
      </c>
      <c r="AL1211" t="s">
        <v>105</v>
      </c>
      <c r="AM1211" t="e">
        <v>#VALUE!</v>
      </c>
    </row>
    <row r="1212" spans="32:39" hidden="1">
      <c r="AF1212" t="e">
        <v>#VALUE!</v>
      </c>
      <c r="AG1212" t="e">
        <v>#VALUE!</v>
      </c>
      <c r="AH1212" t="e">
        <v>#VALUE!</v>
      </c>
      <c r="AI1212" t="e">
        <v>#VALUE!</v>
      </c>
      <c r="AJ1212" t="e">
        <v>#VALUE!</v>
      </c>
      <c r="AK1212" t="e">
        <v>#VALUE!</v>
      </c>
      <c r="AL1212" t="s">
        <v>105</v>
      </c>
      <c r="AM1212" t="e">
        <v>#VALUE!</v>
      </c>
    </row>
    <row r="1213" spans="32:39" hidden="1">
      <c r="AF1213" t="e">
        <v>#VALUE!</v>
      </c>
      <c r="AG1213" t="e">
        <v>#VALUE!</v>
      </c>
      <c r="AH1213" t="e">
        <v>#VALUE!</v>
      </c>
      <c r="AI1213" t="e">
        <v>#VALUE!</v>
      </c>
      <c r="AJ1213" t="e">
        <v>#VALUE!</v>
      </c>
      <c r="AK1213" t="e">
        <v>#VALUE!</v>
      </c>
      <c r="AL1213" t="s">
        <v>105</v>
      </c>
      <c r="AM1213" t="e">
        <v>#VALUE!</v>
      </c>
    </row>
    <row r="1214" spans="32:39" hidden="1">
      <c r="AF1214" t="e">
        <v>#VALUE!</v>
      </c>
      <c r="AG1214" t="e">
        <v>#VALUE!</v>
      </c>
      <c r="AH1214" t="e">
        <v>#VALUE!</v>
      </c>
      <c r="AI1214" t="e">
        <v>#VALUE!</v>
      </c>
      <c r="AJ1214" t="e">
        <v>#VALUE!</v>
      </c>
      <c r="AK1214" t="e">
        <v>#VALUE!</v>
      </c>
      <c r="AL1214" t="s">
        <v>105</v>
      </c>
      <c r="AM1214" t="e">
        <v>#VALUE!</v>
      </c>
    </row>
    <row r="1215" spans="32:39" hidden="1">
      <c r="AF1215" t="e">
        <v>#VALUE!</v>
      </c>
      <c r="AG1215" t="e">
        <v>#VALUE!</v>
      </c>
      <c r="AH1215" t="e">
        <v>#VALUE!</v>
      </c>
      <c r="AI1215" t="e">
        <v>#VALUE!</v>
      </c>
      <c r="AJ1215" t="e">
        <v>#VALUE!</v>
      </c>
      <c r="AK1215" t="e">
        <v>#VALUE!</v>
      </c>
      <c r="AL1215" t="s">
        <v>105</v>
      </c>
      <c r="AM1215" t="e">
        <v>#VALUE!</v>
      </c>
    </row>
    <row r="1216" spans="32:39" hidden="1">
      <c r="AF1216" t="e">
        <v>#VALUE!</v>
      </c>
      <c r="AG1216" t="e">
        <v>#VALUE!</v>
      </c>
      <c r="AH1216" t="e">
        <v>#VALUE!</v>
      </c>
      <c r="AI1216" t="e">
        <v>#VALUE!</v>
      </c>
      <c r="AJ1216" t="e">
        <v>#VALUE!</v>
      </c>
      <c r="AK1216" t="e">
        <v>#VALUE!</v>
      </c>
      <c r="AL1216" t="s">
        <v>105</v>
      </c>
      <c r="AM1216" t="e">
        <v>#VALUE!</v>
      </c>
    </row>
    <row r="1217" spans="32:39" hidden="1">
      <c r="AF1217" t="e">
        <v>#VALUE!</v>
      </c>
      <c r="AG1217" t="e">
        <v>#VALUE!</v>
      </c>
      <c r="AH1217" t="e">
        <v>#VALUE!</v>
      </c>
      <c r="AI1217" t="e">
        <v>#VALUE!</v>
      </c>
      <c r="AJ1217" t="e">
        <v>#VALUE!</v>
      </c>
      <c r="AK1217" t="e">
        <v>#VALUE!</v>
      </c>
      <c r="AL1217" t="s">
        <v>105</v>
      </c>
      <c r="AM1217" t="e">
        <v>#VALUE!</v>
      </c>
    </row>
    <row r="1218" spans="32:39" hidden="1">
      <c r="AF1218" t="e">
        <v>#VALUE!</v>
      </c>
      <c r="AG1218" t="e">
        <v>#VALUE!</v>
      </c>
      <c r="AH1218" t="e">
        <v>#VALUE!</v>
      </c>
      <c r="AI1218" t="e">
        <v>#VALUE!</v>
      </c>
      <c r="AJ1218" t="e">
        <v>#VALUE!</v>
      </c>
      <c r="AK1218" t="e">
        <v>#VALUE!</v>
      </c>
      <c r="AL1218" t="s">
        <v>105</v>
      </c>
      <c r="AM1218" t="e">
        <v>#VALUE!</v>
      </c>
    </row>
    <row r="1219" spans="32:39" hidden="1">
      <c r="AF1219" t="e">
        <v>#VALUE!</v>
      </c>
      <c r="AG1219" t="e">
        <v>#VALUE!</v>
      </c>
      <c r="AH1219" t="e">
        <v>#VALUE!</v>
      </c>
      <c r="AI1219" t="e">
        <v>#VALUE!</v>
      </c>
      <c r="AJ1219" t="e">
        <v>#VALUE!</v>
      </c>
      <c r="AK1219" t="e">
        <v>#VALUE!</v>
      </c>
      <c r="AL1219" t="s">
        <v>105</v>
      </c>
      <c r="AM1219" t="e">
        <v>#VALUE!</v>
      </c>
    </row>
    <row r="1220" spans="32:39" hidden="1">
      <c r="AF1220" t="e">
        <v>#VALUE!</v>
      </c>
      <c r="AG1220" t="e">
        <v>#VALUE!</v>
      </c>
      <c r="AH1220" t="e">
        <v>#VALUE!</v>
      </c>
      <c r="AI1220" t="e">
        <v>#VALUE!</v>
      </c>
      <c r="AJ1220" t="e">
        <v>#VALUE!</v>
      </c>
      <c r="AK1220" t="e">
        <v>#VALUE!</v>
      </c>
      <c r="AL1220" t="s">
        <v>105</v>
      </c>
      <c r="AM1220" t="e">
        <v>#VALUE!</v>
      </c>
    </row>
    <row r="1221" spans="32:39" hidden="1">
      <c r="AF1221" t="e">
        <v>#VALUE!</v>
      </c>
      <c r="AG1221" t="e">
        <v>#VALUE!</v>
      </c>
      <c r="AH1221" t="e">
        <v>#VALUE!</v>
      </c>
      <c r="AI1221" t="e">
        <v>#VALUE!</v>
      </c>
      <c r="AJ1221" t="e">
        <v>#VALUE!</v>
      </c>
      <c r="AK1221" t="e">
        <v>#VALUE!</v>
      </c>
      <c r="AL1221" t="s">
        <v>105</v>
      </c>
      <c r="AM1221" t="e">
        <v>#VALUE!</v>
      </c>
    </row>
    <row r="1222" spans="32:39" hidden="1">
      <c r="AF1222" t="e">
        <v>#VALUE!</v>
      </c>
      <c r="AG1222" t="e">
        <v>#VALUE!</v>
      </c>
      <c r="AH1222" t="e">
        <v>#VALUE!</v>
      </c>
      <c r="AI1222" t="e">
        <v>#VALUE!</v>
      </c>
      <c r="AJ1222" t="e">
        <v>#VALUE!</v>
      </c>
      <c r="AK1222" t="e">
        <v>#VALUE!</v>
      </c>
      <c r="AL1222" t="s">
        <v>105</v>
      </c>
      <c r="AM1222" t="e">
        <v>#VALUE!</v>
      </c>
    </row>
    <row r="1223" spans="32:39" hidden="1">
      <c r="AF1223" t="e">
        <v>#VALUE!</v>
      </c>
      <c r="AG1223" t="e">
        <v>#VALUE!</v>
      </c>
      <c r="AH1223" t="e">
        <v>#VALUE!</v>
      </c>
      <c r="AI1223" t="e">
        <v>#VALUE!</v>
      </c>
      <c r="AJ1223" t="e">
        <v>#VALUE!</v>
      </c>
      <c r="AK1223" t="e">
        <v>#VALUE!</v>
      </c>
      <c r="AL1223" t="s">
        <v>105</v>
      </c>
      <c r="AM1223" t="e">
        <v>#VALUE!</v>
      </c>
    </row>
    <row r="1224" spans="32:39" hidden="1">
      <c r="AF1224" t="e">
        <v>#VALUE!</v>
      </c>
      <c r="AG1224" t="e">
        <v>#VALUE!</v>
      </c>
      <c r="AH1224" t="e">
        <v>#VALUE!</v>
      </c>
      <c r="AI1224" t="e">
        <v>#VALUE!</v>
      </c>
      <c r="AJ1224" t="e">
        <v>#VALUE!</v>
      </c>
      <c r="AK1224" t="e">
        <v>#VALUE!</v>
      </c>
      <c r="AL1224" t="s">
        <v>105</v>
      </c>
      <c r="AM1224" t="e">
        <v>#VALUE!</v>
      </c>
    </row>
    <row r="1225" spans="32:39" hidden="1">
      <c r="AF1225" t="e">
        <v>#VALUE!</v>
      </c>
      <c r="AG1225" t="e">
        <v>#VALUE!</v>
      </c>
      <c r="AH1225" t="e">
        <v>#VALUE!</v>
      </c>
      <c r="AI1225" t="e">
        <v>#VALUE!</v>
      </c>
      <c r="AJ1225" t="e">
        <v>#VALUE!</v>
      </c>
      <c r="AK1225" t="e">
        <v>#VALUE!</v>
      </c>
      <c r="AL1225" t="s">
        <v>105</v>
      </c>
      <c r="AM1225" t="e">
        <v>#VALUE!</v>
      </c>
    </row>
    <row r="1226" spans="32:39" hidden="1">
      <c r="AF1226" t="e">
        <v>#VALUE!</v>
      </c>
      <c r="AG1226" t="e">
        <v>#VALUE!</v>
      </c>
      <c r="AH1226" t="e">
        <v>#VALUE!</v>
      </c>
      <c r="AI1226" t="e">
        <v>#VALUE!</v>
      </c>
      <c r="AJ1226" t="e">
        <v>#VALUE!</v>
      </c>
      <c r="AK1226" t="e">
        <v>#VALUE!</v>
      </c>
      <c r="AL1226" t="s">
        <v>105</v>
      </c>
      <c r="AM1226" t="e">
        <v>#VALUE!</v>
      </c>
    </row>
    <row r="1227" spans="32:39" hidden="1">
      <c r="AF1227" t="e">
        <v>#VALUE!</v>
      </c>
      <c r="AG1227" t="e">
        <v>#VALUE!</v>
      </c>
      <c r="AH1227" t="e">
        <v>#VALUE!</v>
      </c>
      <c r="AI1227" t="e">
        <v>#VALUE!</v>
      </c>
      <c r="AJ1227" t="e">
        <v>#VALUE!</v>
      </c>
      <c r="AK1227" t="e">
        <v>#VALUE!</v>
      </c>
      <c r="AL1227" t="s">
        <v>105</v>
      </c>
      <c r="AM1227" t="e">
        <v>#VALUE!</v>
      </c>
    </row>
    <row r="1228" spans="32:39" hidden="1">
      <c r="AF1228" t="e">
        <v>#VALUE!</v>
      </c>
      <c r="AG1228" t="e">
        <v>#VALUE!</v>
      </c>
      <c r="AH1228" t="e">
        <v>#VALUE!</v>
      </c>
      <c r="AI1228" t="e">
        <v>#VALUE!</v>
      </c>
      <c r="AJ1228" t="e">
        <v>#VALUE!</v>
      </c>
      <c r="AK1228" t="e">
        <v>#VALUE!</v>
      </c>
      <c r="AL1228" t="s">
        <v>105</v>
      </c>
      <c r="AM1228" t="e">
        <v>#VALUE!</v>
      </c>
    </row>
    <row r="1229" spans="32:39" hidden="1">
      <c r="AF1229" t="e">
        <v>#VALUE!</v>
      </c>
      <c r="AG1229" t="e">
        <v>#VALUE!</v>
      </c>
      <c r="AH1229" t="e">
        <v>#VALUE!</v>
      </c>
      <c r="AI1229" t="e">
        <v>#VALUE!</v>
      </c>
      <c r="AJ1229" t="e">
        <v>#VALUE!</v>
      </c>
      <c r="AK1229" t="e">
        <v>#VALUE!</v>
      </c>
      <c r="AL1229" t="s">
        <v>105</v>
      </c>
      <c r="AM1229" t="e">
        <v>#VALUE!</v>
      </c>
    </row>
    <row r="1230" spans="32:39" hidden="1">
      <c r="AF1230" t="e">
        <v>#VALUE!</v>
      </c>
      <c r="AG1230" t="e">
        <v>#VALUE!</v>
      </c>
      <c r="AH1230" t="e">
        <v>#VALUE!</v>
      </c>
      <c r="AI1230" t="e">
        <v>#VALUE!</v>
      </c>
      <c r="AJ1230" t="e">
        <v>#VALUE!</v>
      </c>
      <c r="AK1230" t="e">
        <v>#VALUE!</v>
      </c>
      <c r="AL1230" t="s">
        <v>105</v>
      </c>
      <c r="AM1230" t="e">
        <v>#VALUE!</v>
      </c>
    </row>
    <row r="1231" spans="32:39" hidden="1">
      <c r="AF1231" t="e">
        <v>#VALUE!</v>
      </c>
      <c r="AG1231" t="e">
        <v>#VALUE!</v>
      </c>
      <c r="AH1231" t="e">
        <v>#VALUE!</v>
      </c>
      <c r="AI1231" t="e">
        <v>#VALUE!</v>
      </c>
      <c r="AJ1231" t="e">
        <v>#VALUE!</v>
      </c>
      <c r="AK1231" t="e">
        <v>#VALUE!</v>
      </c>
      <c r="AL1231" t="s">
        <v>105</v>
      </c>
      <c r="AM1231" t="e">
        <v>#VALUE!</v>
      </c>
    </row>
    <row r="1232" spans="32:39" hidden="1">
      <c r="AF1232" t="e">
        <v>#VALUE!</v>
      </c>
      <c r="AG1232" t="e">
        <v>#VALUE!</v>
      </c>
      <c r="AH1232" t="e">
        <v>#VALUE!</v>
      </c>
      <c r="AI1232" t="e">
        <v>#VALUE!</v>
      </c>
      <c r="AJ1232" t="e">
        <v>#VALUE!</v>
      </c>
      <c r="AK1232" t="e">
        <v>#VALUE!</v>
      </c>
      <c r="AL1232" t="s">
        <v>105</v>
      </c>
      <c r="AM1232" t="e">
        <v>#VALUE!</v>
      </c>
    </row>
    <row r="1233" spans="32:39" hidden="1">
      <c r="AF1233" t="e">
        <v>#VALUE!</v>
      </c>
      <c r="AG1233" t="e">
        <v>#VALUE!</v>
      </c>
      <c r="AH1233" t="e">
        <v>#VALUE!</v>
      </c>
      <c r="AI1233" t="e">
        <v>#VALUE!</v>
      </c>
      <c r="AJ1233" t="e">
        <v>#VALUE!</v>
      </c>
      <c r="AK1233" t="e">
        <v>#VALUE!</v>
      </c>
      <c r="AL1233" t="s">
        <v>105</v>
      </c>
      <c r="AM1233" t="e">
        <v>#VALUE!</v>
      </c>
    </row>
    <row r="1234" spans="32:39" hidden="1">
      <c r="AF1234" t="e">
        <v>#VALUE!</v>
      </c>
      <c r="AG1234" t="e">
        <v>#VALUE!</v>
      </c>
      <c r="AH1234" t="e">
        <v>#VALUE!</v>
      </c>
      <c r="AI1234" t="e">
        <v>#VALUE!</v>
      </c>
      <c r="AJ1234" t="e">
        <v>#VALUE!</v>
      </c>
      <c r="AK1234" t="e">
        <v>#VALUE!</v>
      </c>
      <c r="AL1234" t="s">
        <v>105</v>
      </c>
      <c r="AM1234" t="e">
        <v>#VALUE!</v>
      </c>
    </row>
    <row r="1235" spans="32:39" hidden="1">
      <c r="AF1235" t="e">
        <v>#VALUE!</v>
      </c>
      <c r="AG1235" t="e">
        <v>#VALUE!</v>
      </c>
      <c r="AH1235" t="e">
        <v>#VALUE!</v>
      </c>
      <c r="AI1235" t="e">
        <v>#VALUE!</v>
      </c>
      <c r="AJ1235" t="e">
        <v>#VALUE!</v>
      </c>
      <c r="AK1235" t="e">
        <v>#VALUE!</v>
      </c>
      <c r="AL1235" t="s">
        <v>105</v>
      </c>
      <c r="AM1235" t="e">
        <v>#VALUE!</v>
      </c>
    </row>
    <row r="1236" spans="32:39" hidden="1">
      <c r="AF1236" t="e">
        <v>#VALUE!</v>
      </c>
      <c r="AG1236" t="e">
        <v>#VALUE!</v>
      </c>
      <c r="AH1236" t="e">
        <v>#VALUE!</v>
      </c>
      <c r="AI1236" t="e">
        <v>#VALUE!</v>
      </c>
      <c r="AJ1236" t="e">
        <v>#VALUE!</v>
      </c>
      <c r="AK1236" t="e">
        <v>#VALUE!</v>
      </c>
      <c r="AL1236" t="s">
        <v>105</v>
      </c>
      <c r="AM1236" t="e">
        <v>#VALUE!</v>
      </c>
    </row>
    <row r="1237" spans="32:39" hidden="1">
      <c r="AF1237" t="e">
        <v>#VALUE!</v>
      </c>
      <c r="AG1237" t="e">
        <v>#VALUE!</v>
      </c>
      <c r="AH1237" t="e">
        <v>#VALUE!</v>
      </c>
      <c r="AI1237" t="e">
        <v>#VALUE!</v>
      </c>
      <c r="AJ1237" t="e">
        <v>#VALUE!</v>
      </c>
      <c r="AK1237" t="e">
        <v>#VALUE!</v>
      </c>
      <c r="AL1237" t="s">
        <v>105</v>
      </c>
      <c r="AM1237" t="e">
        <v>#VALUE!</v>
      </c>
    </row>
    <row r="1238" spans="32:39" hidden="1">
      <c r="AF1238" t="e">
        <v>#VALUE!</v>
      </c>
      <c r="AG1238" t="e">
        <v>#VALUE!</v>
      </c>
      <c r="AH1238" t="e">
        <v>#VALUE!</v>
      </c>
      <c r="AI1238" t="e">
        <v>#VALUE!</v>
      </c>
      <c r="AJ1238" t="e">
        <v>#VALUE!</v>
      </c>
      <c r="AK1238" t="e">
        <v>#VALUE!</v>
      </c>
      <c r="AL1238" t="s">
        <v>105</v>
      </c>
      <c r="AM1238" t="e">
        <v>#VALUE!</v>
      </c>
    </row>
    <row r="1239" spans="32:39" hidden="1">
      <c r="AF1239" t="e">
        <v>#VALUE!</v>
      </c>
      <c r="AG1239" t="e">
        <v>#VALUE!</v>
      </c>
      <c r="AH1239" t="e">
        <v>#VALUE!</v>
      </c>
      <c r="AI1239" t="e">
        <v>#VALUE!</v>
      </c>
      <c r="AJ1239" t="e">
        <v>#VALUE!</v>
      </c>
      <c r="AK1239" t="e">
        <v>#VALUE!</v>
      </c>
      <c r="AL1239" t="s">
        <v>105</v>
      </c>
      <c r="AM1239" t="e">
        <v>#VALUE!</v>
      </c>
    </row>
    <row r="1240" spans="32:39" hidden="1">
      <c r="AF1240" t="e">
        <v>#VALUE!</v>
      </c>
      <c r="AG1240" t="e">
        <v>#VALUE!</v>
      </c>
      <c r="AH1240" t="e">
        <v>#VALUE!</v>
      </c>
      <c r="AI1240" t="e">
        <v>#VALUE!</v>
      </c>
      <c r="AJ1240" t="e">
        <v>#VALUE!</v>
      </c>
      <c r="AK1240" t="e">
        <v>#VALUE!</v>
      </c>
      <c r="AL1240" t="s">
        <v>105</v>
      </c>
      <c r="AM1240" t="e">
        <v>#VALUE!</v>
      </c>
    </row>
    <row r="1241" spans="32:39" hidden="1">
      <c r="AF1241" t="e">
        <v>#VALUE!</v>
      </c>
      <c r="AG1241" t="e">
        <v>#VALUE!</v>
      </c>
      <c r="AH1241" t="e">
        <v>#VALUE!</v>
      </c>
      <c r="AI1241" t="e">
        <v>#VALUE!</v>
      </c>
      <c r="AJ1241" t="e">
        <v>#VALUE!</v>
      </c>
      <c r="AK1241" t="e">
        <v>#VALUE!</v>
      </c>
      <c r="AL1241" t="s">
        <v>105</v>
      </c>
      <c r="AM1241" t="e">
        <v>#VALUE!</v>
      </c>
    </row>
    <row r="1242" spans="32:39" hidden="1">
      <c r="AF1242" t="e">
        <v>#VALUE!</v>
      </c>
      <c r="AG1242" t="e">
        <v>#VALUE!</v>
      </c>
      <c r="AH1242" t="e">
        <v>#VALUE!</v>
      </c>
      <c r="AI1242" t="e">
        <v>#VALUE!</v>
      </c>
      <c r="AJ1242" t="e">
        <v>#VALUE!</v>
      </c>
      <c r="AK1242" t="e">
        <v>#VALUE!</v>
      </c>
      <c r="AL1242" t="s">
        <v>105</v>
      </c>
      <c r="AM1242" t="e">
        <v>#VALUE!</v>
      </c>
    </row>
    <row r="1243" spans="32:39" hidden="1">
      <c r="AF1243" t="e">
        <v>#VALUE!</v>
      </c>
      <c r="AG1243" t="e">
        <v>#VALUE!</v>
      </c>
      <c r="AH1243" t="e">
        <v>#VALUE!</v>
      </c>
      <c r="AI1243" t="e">
        <v>#VALUE!</v>
      </c>
      <c r="AJ1243" t="e">
        <v>#VALUE!</v>
      </c>
      <c r="AK1243" t="e">
        <v>#VALUE!</v>
      </c>
      <c r="AL1243" t="s">
        <v>105</v>
      </c>
      <c r="AM1243" t="e">
        <v>#VALUE!</v>
      </c>
    </row>
    <row r="1244" spans="32:39" hidden="1">
      <c r="AF1244" t="e">
        <v>#VALUE!</v>
      </c>
      <c r="AG1244" t="e">
        <v>#VALUE!</v>
      </c>
      <c r="AH1244" t="e">
        <v>#VALUE!</v>
      </c>
      <c r="AI1244" t="e">
        <v>#VALUE!</v>
      </c>
      <c r="AJ1244" t="e">
        <v>#VALUE!</v>
      </c>
      <c r="AK1244" t="e">
        <v>#VALUE!</v>
      </c>
      <c r="AL1244" t="s">
        <v>105</v>
      </c>
      <c r="AM1244" t="e">
        <v>#VALUE!</v>
      </c>
    </row>
    <row r="1245" spans="32:39" hidden="1">
      <c r="AF1245" t="e">
        <v>#VALUE!</v>
      </c>
      <c r="AG1245" t="e">
        <v>#VALUE!</v>
      </c>
      <c r="AH1245" t="e">
        <v>#VALUE!</v>
      </c>
      <c r="AI1245" t="e">
        <v>#VALUE!</v>
      </c>
      <c r="AJ1245" t="e">
        <v>#VALUE!</v>
      </c>
      <c r="AK1245" t="e">
        <v>#VALUE!</v>
      </c>
      <c r="AL1245" t="s">
        <v>105</v>
      </c>
      <c r="AM1245" t="e">
        <v>#VALUE!</v>
      </c>
    </row>
    <row r="1246" spans="32:39" hidden="1">
      <c r="AF1246" t="e">
        <v>#VALUE!</v>
      </c>
      <c r="AG1246" t="e">
        <v>#VALUE!</v>
      </c>
      <c r="AH1246" t="e">
        <v>#VALUE!</v>
      </c>
      <c r="AI1246" t="e">
        <v>#VALUE!</v>
      </c>
      <c r="AJ1246" t="e">
        <v>#VALUE!</v>
      </c>
      <c r="AK1246" t="e">
        <v>#VALUE!</v>
      </c>
      <c r="AL1246" t="s">
        <v>105</v>
      </c>
      <c r="AM1246" t="e">
        <v>#VALUE!</v>
      </c>
    </row>
    <row r="1247" spans="32:39" hidden="1">
      <c r="AF1247" t="e">
        <v>#VALUE!</v>
      </c>
      <c r="AG1247" t="e">
        <v>#VALUE!</v>
      </c>
      <c r="AH1247" t="e">
        <v>#VALUE!</v>
      </c>
      <c r="AI1247" t="e">
        <v>#VALUE!</v>
      </c>
      <c r="AJ1247" t="e">
        <v>#VALUE!</v>
      </c>
      <c r="AK1247" t="e">
        <v>#VALUE!</v>
      </c>
      <c r="AL1247" t="s">
        <v>105</v>
      </c>
      <c r="AM1247" t="e">
        <v>#VALUE!</v>
      </c>
    </row>
    <row r="1248" spans="32:39" hidden="1">
      <c r="AF1248" t="e">
        <v>#VALUE!</v>
      </c>
      <c r="AG1248" t="e">
        <v>#VALUE!</v>
      </c>
      <c r="AH1248" t="e">
        <v>#VALUE!</v>
      </c>
      <c r="AI1248" t="e">
        <v>#VALUE!</v>
      </c>
      <c r="AJ1248" t="e">
        <v>#VALUE!</v>
      </c>
      <c r="AK1248" t="e">
        <v>#VALUE!</v>
      </c>
      <c r="AL1248" t="s">
        <v>105</v>
      </c>
      <c r="AM1248" t="e">
        <v>#VALUE!</v>
      </c>
    </row>
    <row r="1249" spans="32:39" hidden="1">
      <c r="AF1249" t="e">
        <v>#VALUE!</v>
      </c>
      <c r="AG1249" t="e">
        <v>#VALUE!</v>
      </c>
      <c r="AH1249" t="e">
        <v>#VALUE!</v>
      </c>
      <c r="AI1249" t="e">
        <v>#VALUE!</v>
      </c>
      <c r="AJ1249" t="e">
        <v>#VALUE!</v>
      </c>
      <c r="AK1249" t="e">
        <v>#VALUE!</v>
      </c>
      <c r="AL1249" t="s">
        <v>105</v>
      </c>
      <c r="AM1249" t="e">
        <v>#VALUE!</v>
      </c>
    </row>
    <row r="1250" spans="32:39" hidden="1">
      <c r="AF1250" t="e">
        <v>#VALUE!</v>
      </c>
      <c r="AG1250" t="e">
        <v>#VALUE!</v>
      </c>
      <c r="AH1250" t="e">
        <v>#VALUE!</v>
      </c>
      <c r="AI1250" t="e">
        <v>#VALUE!</v>
      </c>
      <c r="AJ1250" t="e">
        <v>#VALUE!</v>
      </c>
      <c r="AK1250" t="e">
        <v>#VALUE!</v>
      </c>
      <c r="AL1250" t="s">
        <v>105</v>
      </c>
      <c r="AM1250" t="e">
        <v>#VALUE!</v>
      </c>
    </row>
    <row r="1251" spans="32:39" hidden="1">
      <c r="AF1251" t="e">
        <v>#VALUE!</v>
      </c>
      <c r="AG1251" t="e">
        <v>#VALUE!</v>
      </c>
      <c r="AH1251" t="e">
        <v>#VALUE!</v>
      </c>
      <c r="AI1251" t="e">
        <v>#VALUE!</v>
      </c>
      <c r="AJ1251" t="e">
        <v>#VALUE!</v>
      </c>
      <c r="AK1251" t="e">
        <v>#VALUE!</v>
      </c>
      <c r="AL1251" t="s">
        <v>105</v>
      </c>
      <c r="AM1251" t="e">
        <v>#VALUE!</v>
      </c>
    </row>
    <row r="1252" spans="32:39" hidden="1">
      <c r="AF1252" t="e">
        <v>#VALUE!</v>
      </c>
      <c r="AG1252" t="e">
        <v>#VALUE!</v>
      </c>
      <c r="AH1252" t="e">
        <v>#VALUE!</v>
      </c>
      <c r="AI1252" t="e">
        <v>#VALUE!</v>
      </c>
      <c r="AJ1252" t="e">
        <v>#VALUE!</v>
      </c>
      <c r="AK1252" t="e">
        <v>#VALUE!</v>
      </c>
      <c r="AL1252" t="s">
        <v>105</v>
      </c>
      <c r="AM1252" t="e">
        <v>#VALUE!</v>
      </c>
    </row>
    <row r="1253" spans="32:39" hidden="1">
      <c r="AF1253" t="e">
        <v>#VALUE!</v>
      </c>
      <c r="AG1253" t="e">
        <v>#VALUE!</v>
      </c>
      <c r="AH1253" t="e">
        <v>#VALUE!</v>
      </c>
      <c r="AI1253" t="e">
        <v>#VALUE!</v>
      </c>
      <c r="AJ1253" t="e">
        <v>#VALUE!</v>
      </c>
      <c r="AK1253" t="e">
        <v>#VALUE!</v>
      </c>
      <c r="AL1253" t="s">
        <v>105</v>
      </c>
      <c r="AM1253" t="e">
        <v>#VALUE!</v>
      </c>
    </row>
    <row r="1254" spans="32:39" hidden="1">
      <c r="AF1254" t="e">
        <v>#VALUE!</v>
      </c>
      <c r="AG1254" t="e">
        <v>#VALUE!</v>
      </c>
      <c r="AH1254" t="e">
        <v>#VALUE!</v>
      </c>
      <c r="AI1254" t="e">
        <v>#VALUE!</v>
      </c>
      <c r="AJ1254" t="e">
        <v>#VALUE!</v>
      </c>
      <c r="AK1254" t="e">
        <v>#VALUE!</v>
      </c>
      <c r="AL1254" t="s">
        <v>105</v>
      </c>
      <c r="AM1254" t="e">
        <v>#VALUE!</v>
      </c>
    </row>
    <row r="1255" spans="32:39" hidden="1">
      <c r="AF1255" t="e">
        <v>#VALUE!</v>
      </c>
      <c r="AG1255" t="e">
        <v>#VALUE!</v>
      </c>
      <c r="AH1255" t="e">
        <v>#VALUE!</v>
      </c>
      <c r="AI1255" t="e">
        <v>#VALUE!</v>
      </c>
      <c r="AJ1255" t="e">
        <v>#VALUE!</v>
      </c>
      <c r="AK1255" t="e">
        <v>#VALUE!</v>
      </c>
      <c r="AL1255" t="s">
        <v>105</v>
      </c>
      <c r="AM1255" t="e">
        <v>#VALUE!</v>
      </c>
    </row>
    <row r="1256" spans="32:39" hidden="1">
      <c r="AF1256" t="e">
        <v>#VALUE!</v>
      </c>
      <c r="AG1256" t="e">
        <v>#VALUE!</v>
      </c>
      <c r="AH1256" t="e">
        <v>#VALUE!</v>
      </c>
      <c r="AI1256" t="e">
        <v>#VALUE!</v>
      </c>
      <c r="AJ1256" t="e">
        <v>#VALUE!</v>
      </c>
      <c r="AK1256" t="e">
        <v>#VALUE!</v>
      </c>
      <c r="AL1256" t="s">
        <v>105</v>
      </c>
      <c r="AM1256" t="e">
        <v>#VALUE!</v>
      </c>
    </row>
    <row r="1257" spans="32:39" hidden="1">
      <c r="AF1257" t="e">
        <v>#VALUE!</v>
      </c>
      <c r="AG1257" t="e">
        <v>#VALUE!</v>
      </c>
      <c r="AH1257" t="e">
        <v>#VALUE!</v>
      </c>
      <c r="AI1257" t="e">
        <v>#VALUE!</v>
      </c>
      <c r="AJ1257" t="e">
        <v>#VALUE!</v>
      </c>
      <c r="AK1257" t="e">
        <v>#VALUE!</v>
      </c>
      <c r="AL1257" t="s">
        <v>105</v>
      </c>
      <c r="AM1257" t="e">
        <v>#VALUE!</v>
      </c>
    </row>
    <row r="1258" spans="32:39" hidden="1">
      <c r="AF1258" t="e">
        <v>#VALUE!</v>
      </c>
      <c r="AG1258" t="e">
        <v>#VALUE!</v>
      </c>
      <c r="AH1258" t="e">
        <v>#VALUE!</v>
      </c>
      <c r="AI1258" t="e">
        <v>#VALUE!</v>
      </c>
      <c r="AJ1258" t="e">
        <v>#VALUE!</v>
      </c>
      <c r="AK1258" t="e">
        <v>#VALUE!</v>
      </c>
      <c r="AL1258" t="s">
        <v>105</v>
      </c>
      <c r="AM1258" t="e">
        <v>#VALUE!</v>
      </c>
    </row>
    <row r="1259" spans="32:39" hidden="1">
      <c r="AF1259" t="e">
        <v>#VALUE!</v>
      </c>
      <c r="AG1259" t="e">
        <v>#VALUE!</v>
      </c>
      <c r="AH1259" t="e">
        <v>#VALUE!</v>
      </c>
      <c r="AI1259" t="e">
        <v>#VALUE!</v>
      </c>
      <c r="AJ1259" t="e">
        <v>#VALUE!</v>
      </c>
      <c r="AK1259" t="e">
        <v>#VALUE!</v>
      </c>
      <c r="AL1259" t="s">
        <v>105</v>
      </c>
      <c r="AM1259" t="e">
        <v>#VALUE!</v>
      </c>
    </row>
    <row r="1260" spans="32:39" hidden="1">
      <c r="AF1260" t="e">
        <v>#VALUE!</v>
      </c>
      <c r="AG1260" t="e">
        <v>#VALUE!</v>
      </c>
      <c r="AH1260" t="e">
        <v>#VALUE!</v>
      </c>
      <c r="AI1260" t="e">
        <v>#VALUE!</v>
      </c>
      <c r="AJ1260" t="e">
        <v>#VALUE!</v>
      </c>
      <c r="AK1260" t="e">
        <v>#VALUE!</v>
      </c>
      <c r="AL1260" t="s">
        <v>105</v>
      </c>
      <c r="AM1260" t="e">
        <v>#VALUE!</v>
      </c>
    </row>
    <row r="1261" spans="32:39" hidden="1">
      <c r="AF1261" t="e">
        <v>#VALUE!</v>
      </c>
      <c r="AG1261" t="e">
        <v>#VALUE!</v>
      </c>
      <c r="AH1261" t="e">
        <v>#VALUE!</v>
      </c>
      <c r="AI1261" t="e">
        <v>#VALUE!</v>
      </c>
      <c r="AJ1261" t="e">
        <v>#VALUE!</v>
      </c>
      <c r="AK1261" t="e">
        <v>#VALUE!</v>
      </c>
      <c r="AL1261" t="s">
        <v>105</v>
      </c>
      <c r="AM1261" t="e">
        <v>#VALUE!</v>
      </c>
    </row>
    <row r="1262" spans="32:39" hidden="1">
      <c r="AF1262" t="e">
        <v>#VALUE!</v>
      </c>
      <c r="AG1262" t="e">
        <v>#VALUE!</v>
      </c>
      <c r="AH1262" t="e">
        <v>#VALUE!</v>
      </c>
      <c r="AI1262" t="e">
        <v>#VALUE!</v>
      </c>
      <c r="AJ1262" t="e">
        <v>#VALUE!</v>
      </c>
      <c r="AK1262" t="e">
        <v>#VALUE!</v>
      </c>
      <c r="AL1262" t="s">
        <v>105</v>
      </c>
      <c r="AM1262" t="e">
        <v>#VALUE!</v>
      </c>
    </row>
    <row r="1263" spans="32:39" hidden="1">
      <c r="AF1263" t="e">
        <v>#VALUE!</v>
      </c>
      <c r="AG1263" t="e">
        <v>#VALUE!</v>
      </c>
      <c r="AH1263" t="e">
        <v>#VALUE!</v>
      </c>
      <c r="AI1263" t="e">
        <v>#VALUE!</v>
      </c>
      <c r="AJ1263" t="e">
        <v>#VALUE!</v>
      </c>
      <c r="AK1263" t="e">
        <v>#VALUE!</v>
      </c>
      <c r="AL1263" t="s">
        <v>105</v>
      </c>
      <c r="AM1263" t="e">
        <v>#VALUE!</v>
      </c>
    </row>
    <row r="1264" spans="32:39" hidden="1">
      <c r="AF1264" t="e">
        <v>#VALUE!</v>
      </c>
      <c r="AG1264" t="e">
        <v>#VALUE!</v>
      </c>
      <c r="AH1264" t="e">
        <v>#VALUE!</v>
      </c>
      <c r="AI1264" t="e">
        <v>#VALUE!</v>
      </c>
      <c r="AJ1264" t="e">
        <v>#VALUE!</v>
      </c>
      <c r="AK1264" t="e">
        <v>#VALUE!</v>
      </c>
      <c r="AL1264" t="s">
        <v>105</v>
      </c>
      <c r="AM1264" t="e">
        <v>#VALUE!</v>
      </c>
    </row>
    <row r="1265" spans="32:39" hidden="1">
      <c r="AF1265" t="e">
        <v>#VALUE!</v>
      </c>
      <c r="AG1265" t="e">
        <v>#VALUE!</v>
      </c>
      <c r="AH1265" t="e">
        <v>#VALUE!</v>
      </c>
      <c r="AI1265" t="e">
        <v>#VALUE!</v>
      </c>
      <c r="AJ1265" t="e">
        <v>#VALUE!</v>
      </c>
      <c r="AK1265" t="e">
        <v>#VALUE!</v>
      </c>
      <c r="AL1265" t="s">
        <v>105</v>
      </c>
      <c r="AM1265" t="e">
        <v>#VALUE!</v>
      </c>
    </row>
    <row r="1266" spans="32:39" hidden="1">
      <c r="AF1266" t="e">
        <v>#VALUE!</v>
      </c>
      <c r="AG1266" t="e">
        <v>#VALUE!</v>
      </c>
      <c r="AH1266" t="e">
        <v>#VALUE!</v>
      </c>
      <c r="AI1266" t="e">
        <v>#VALUE!</v>
      </c>
      <c r="AJ1266" t="e">
        <v>#VALUE!</v>
      </c>
      <c r="AK1266" t="e">
        <v>#VALUE!</v>
      </c>
      <c r="AL1266" t="s">
        <v>105</v>
      </c>
      <c r="AM1266" t="e">
        <v>#VALUE!</v>
      </c>
    </row>
    <row r="1267" spans="32:39" hidden="1">
      <c r="AF1267" t="e">
        <v>#VALUE!</v>
      </c>
      <c r="AG1267" t="e">
        <v>#VALUE!</v>
      </c>
      <c r="AH1267" t="e">
        <v>#VALUE!</v>
      </c>
      <c r="AI1267" t="e">
        <v>#VALUE!</v>
      </c>
      <c r="AJ1267" t="e">
        <v>#VALUE!</v>
      </c>
      <c r="AK1267" t="e">
        <v>#VALUE!</v>
      </c>
      <c r="AL1267" t="s">
        <v>105</v>
      </c>
      <c r="AM1267" t="e">
        <v>#VALUE!</v>
      </c>
    </row>
    <row r="1268" spans="32:39" hidden="1">
      <c r="AF1268" t="e">
        <v>#VALUE!</v>
      </c>
      <c r="AG1268" t="e">
        <v>#VALUE!</v>
      </c>
      <c r="AH1268" t="e">
        <v>#VALUE!</v>
      </c>
      <c r="AI1268" t="e">
        <v>#VALUE!</v>
      </c>
      <c r="AJ1268" t="e">
        <v>#VALUE!</v>
      </c>
      <c r="AK1268" t="e">
        <v>#VALUE!</v>
      </c>
      <c r="AL1268" t="s">
        <v>105</v>
      </c>
      <c r="AM1268" t="e">
        <v>#VALUE!</v>
      </c>
    </row>
    <row r="1269" spans="32:39" hidden="1">
      <c r="AF1269" t="e">
        <v>#VALUE!</v>
      </c>
      <c r="AG1269" t="e">
        <v>#VALUE!</v>
      </c>
      <c r="AH1269" t="e">
        <v>#VALUE!</v>
      </c>
      <c r="AI1269" t="e">
        <v>#VALUE!</v>
      </c>
      <c r="AJ1269" t="e">
        <v>#VALUE!</v>
      </c>
      <c r="AK1269" t="e">
        <v>#VALUE!</v>
      </c>
      <c r="AL1269" t="s">
        <v>105</v>
      </c>
      <c r="AM1269" t="e">
        <v>#VALUE!</v>
      </c>
    </row>
    <row r="1270" spans="32:39" hidden="1">
      <c r="AF1270" t="e">
        <v>#VALUE!</v>
      </c>
      <c r="AG1270" t="e">
        <v>#VALUE!</v>
      </c>
      <c r="AH1270" t="e">
        <v>#VALUE!</v>
      </c>
      <c r="AI1270" t="e">
        <v>#VALUE!</v>
      </c>
      <c r="AJ1270" t="e">
        <v>#VALUE!</v>
      </c>
      <c r="AK1270" t="e">
        <v>#VALUE!</v>
      </c>
      <c r="AL1270" t="s">
        <v>105</v>
      </c>
      <c r="AM1270" t="e">
        <v>#VALUE!</v>
      </c>
    </row>
    <row r="1271" spans="32:39" hidden="1">
      <c r="AF1271" t="e">
        <v>#VALUE!</v>
      </c>
      <c r="AG1271" t="e">
        <v>#VALUE!</v>
      </c>
      <c r="AH1271" t="e">
        <v>#VALUE!</v>
      </c>
      <c r="AI1271" t="e">
        <v>#VALUE!</v>
      </c>
      <c r="AJ1271" t="e">
        <v>#VALUE!</v>
      </c>
      <c r="AK1271" t="e">
        <v>#VALUE!</v>
      </c>
      <c r="AL1271" t="s">
        <v>105</v>
      </c>
      <c r="AM1271" t="e">
        <v>#VALUE!</v>
      </c>
    </row>
    <row r="1272" spans="32:39" hidden="1">
      <c r="AF1272" t="e">
        <v>#VALUE!</v>
      </c>
      <c r="AG1272" t="e">
        <v>#VALUE!</v>
      </c>
      <c r="AH1272" t="e">
        <v>#VALUE!</v>
      </c>
      <c r="AI1272" t="e">
        <v>#VALUE!</v>
      </c>
      <c r="AJ1272" t="e">
        <v>#VALUE!</v>
      </c>
      <c r="AK1272" t="e">
        <v>#VALUE!</v>
      </c>
      <c r="AL1272" t="s">
        <v>105</v>
      </c>
      <c r="AM1272" t="e">
        <v>#VALUE!</v>
      </c>
    </row>
    <row r="1273" spans="32:39" hidden="1">
      <c r="AF1273" t="e">
        <v>#VALUE!</v>
      </c>
      <c r="AG1273" t="e">
        <v>#VALUE!</v>
      </c>
      <c r="AH1273" t="e">
        <v>#VALUE!</v>
      </c>
      <c r="AI1273" t="e">
        <v>#VALUE!</v>
      </c>
      <c r="AJ1273" t="e">
        <v>#VALUE!</v>
      </c>
      <c r="AK1273" t="e">
        <v>#VALUE!</v>
      </c>
      <c r="AL1273" t="s">
        <v>105</v>
      </c>
      <c r="AM1273" t="e">
        <v>#VALUE!</v>
      </c>
    </row>
    <row r="1274" spans="32:39" hidden="1">
      <c r="AF1274" t="e">
        <v>#VALUE!</v>
      </c>
      <c r="AG1274" t="e">
        <v>#VALUE!</v>
      </c>
      <c r="AH1274" t="e">
        <v>#VALUE!</v>
      </c>
      <c r="AI1274" t="e">
        <v>#VALUE!</v>
      </c>
      <c r="AJ1274" t="e">
        <v>#VALUE!</v>
      </c>
      <c r="AK1274" t="e">
        <v>#VALUE!</v>
      </c>
      <c r="AL1274" t="s">
        <v>105</v>
      </c>
      <c r="AM1274" t="e">
        <v>#VALUE!</v>
      </c>
    </row>
    <row r="1275" spans="32:39" hidden="1">
      <c r="AF1275" t="e">
        <v>#VALUE!</v>
      </c>
      <c r="AG1275" t="e">
        <v>#VALUE!</v>
      </c>
      <c r="AH1275" t="e">
        <v>#VALUE!</v>
      </c>
      <c r="AI1275" t="e">
        <v>#VALUE!</v>
      </c>
      <c r="AJ1275" t="e">
        <v>#VALUE!</v>
      </c>
      <c r="AK1275" t="e">
        <v>#VALUE!</v>
      </c>
      <c r="AL1275" t="s">
        <v>105</v>
      </c>
      <c r="AM1275" t="e">
        <v>#VALUE!</v>
      </c>
    </row>
    <row r="1276" spans="32:39" hidden="1">
      <c r="AF1276" t="e">
        <v>#VALUE!</v>
      </c>
      <c r="AG1276" t="e">
        <v>#VALUE!</v>
      </c>
      <c r="AH1276" t="e">
        <v>#VALUE!</v>
      </c>
      <c r="AI1276" t="e">
        <v>#VALUE!</v>
      </c>
      <c r="AJ1276" t="e">
        <v>#VALUE!</v>
      </c>
      <c r="AK1276" t="e">
        <v>#VALUE!</v>
      </c>
      <c r="AL1276" t="s">
        <v>105</v>
      </c>
      <c r="AM1276" t="e">
        <v>#VALUE!</v>
      </c>
    </row>
    <row r="1277" spans="32:39" hidden="1">
      <c r="AF1277" t="e">
        <v>#VALUE!</v>
      </c>
      <c r="AG1277" t="e">
        <v>#VALUE!</v>
      </c>
      <c r="AH1277" t="e">
        <v>#VALUE!</v>
      </c>
      <c r="AI1277" t="e">
        <v>#VALUE!</v>
      </c>
      <c r="AJ1277" t="e">
        <v>#VALUE!</v>
      </c>
      <c r="AK1277" t="e">
        <v>#VALUE!</v>
      </c>
      <c r="AL1277" t="s">
        <v>105</v>
      </c>
      <c r="AM1277" t="e">
        <v>#VALUE!</v>
      </c>
    </row>
    <row r="1278" spans="32:39" hidden="1">
      <c r="AF1278" t="e">
        <v>#VALUE!</v>
      </c>
      <c r="AG1278" t="e">
        <v>#VALUE!</v>
      </c>
      <c r="AH1278" t="e">
        <v>#VALUE!</v>
      </c>
      <c r="AI1278" t="e">
        <v>#VALUE!</v>
      </c>
      <c r="AJ1278" t="e">
        <v>#VALUE!</v>
      </c>
      <c r="AK1278" t="e">
        <v>#VALUE!</v>
      </c>
      <c r="AL1278" t="s">
        <v>105</v>
      </c>
      <c r="AM1278" t="e">
        <v>#VALUE!</v>
      </c>
    </row>
    <row r="1279" spans="32:39" hidden="1">
      <c r="AF1279" t="e">
        <v>#VALUE!</v>
      </c>
      <c r="AG1279" t="e">
        <v>#VALUE!</v>
      </c>
      <c r="AH1279" t="e">
        <v>#VALUE!</v>
      </c>
      <c r="AI1279" t="e">
        <v>#VALUE!</v>
      </c>
      <c r="AJ1279" t="e">
        <v>#VALUE!</v>
      </c>
      <c r="AK1279" t="e">
        <v>#VALUE!</v>
      </c>
      <c r="AL1279" t="s">
        <v>105</v>
      </c>
      <c r="AM1279" t="e">
        <v>#VALUE!</v>
      </c>
    </row>
    <row r="1280" spans="32:39" hidden="1">
      <c r="AF1280" t="e">
        <v>#VALUE!</v>
      </c>
      <c r="AG1280" t="e">
        <v>#VALUE!</v>
      </c>
      <c r="AH1280" t="e">
        <v>#VALUE!</v>
      </c>
      <c r="AI1280" t="e">
        <v>#VALUE!</v>
      </c>
      <c r="AJ1280" t="e">
        <v>#VALUE!</v>
      </c>
      <c r="AK1280" t="e">
        <v>#VALUE!</v>
      </c>
      <c r="AL1280" t="s">
        <v>105</v>
      </c>
      <c r="AM1280" t="e">
        <v>#VALUE!</v>
      </c>
    </row>
    <row r="1281" spans="32:39" hidden="1">
      <c r="AF1281" t="e">
        <v>#VALUE!</v>
      </c>
      <c r="AG1281" t="e">
        <v>#VALUE!</v>
      </c>
      <c r="AH1281" t="e">
        <v>#VALUE!</v>
      </c>
      <c r="AI1281" t="e">
        <v>#VALUE!</v>
      </c>
      <c r="AJ1281" t="e">
        <v>#VALUE!</v>
      </c>
      <c r="AK1281" t="e">
        <v>#VALUE!</v>
      </c>
      <c r="AL1281" t="s">
        <v>105</v>
      </c>
      <c r="AM1281" t="e">
        <v>#VALUE!</v>
      </c>
    </row>
    <row r="1282" spans="32:39" hidden="1">
      <c r="AF1282" t="e">
        <v>#VALUE!</v>
      </c>
      <c r="AG1282" t="e">
        <v>#VALUE!</v>
      </c>
      <c r="AH1282" t="e">
        <v>#VALUE!</v>
      </c>
      <c r="AI1282" t="e">
        <v>#VALUE!</v>
      </c>
      <c r="AJ1282" t="e">
        <v>#VALUE!</v>
      </c>
      <c r="AK1282" t="e">
        <v>#VALUE!</v>
      </c>
      <c r="AL1282" t="s">
        <v>105</v>
      </c>
      <c r="AM1282" t="e">
        <v>#VALUE!</v>
      </c>
    </row>
    <row r="1283" spans="32:39" hidden="1">
      <c r="AF1283" t="e">
        <v>#VALUE!</v>
      </c>
      <c r="AG1283" t="e">
        <v>#VALUE!</v>
      </c>
      <c r="AH1283" t="e">
        <v>#VALUE!</v>
      </c>
      <c r="AI1283" t="e">
        <v>#VALUE!</v>
      </c>
      <c r="AJ1283" t="e">
        <v>#VALUE!</v>
      </c>
      <c r="AK1283" t="e">
        <v>#VALUE!</v>
      </c>
      <c r="AL1283" t="s">
        <v>105</v>
      </c>
      <c r="AM1283" t="e">
        <v>#VALUE!</v>
      </c>
    </row>
    <row r="1284" spans="32:39" hidden="1">
      <c r="AF1284" t="e">
        <v>#VALUE!</v>
      </c>
      <c r="AG1284" t="e">
        <v>#VALUE!</v>
      </c>
      <c r="AH1284" t="e">
        <v>#VALUE!</v>
      </c>
      <c r="AI1284" t="e">
        <v>#VALUE!</v>
      </c>
      <c r="AJ1284" t="e">
        <v>#VALUE!</v>
      </c>
      <c r="AK1284" t="e">
        <v>#VALUE!</v>
      </c>
      <c r="AL1284" t="s">
        <v>105</v>
      </c>
      <c r="AM1284" t="e">
        <v>#VALUE!</v>
      </c>
    </row>
    <row r="1285" spans="32:39" hidden="1">
      <c r="AF1285" t="e">
        <v>#VALUE!</v>
      </c>
      <c r="AG1285" t="e">
        <v>#VALUE!</v>
      </c>
      <c r="AH1285" t="e">
        <v>#VALUE!</v>
      </c>
      <c r="AI1285" t="e">
        <v>#VALUE!</v>
      </c>
      <c r="AJ1285" t="e">
        <v>#VALUE!</v>
      </c>
      <c r="AK1285" t="e">
        <v>#VALUE!</v>
      </c>
      <c r="AL1285" t="s">
        <v>105</v>
      </c>
      <c r="AM1285" t="e">
        <v>#VALUE!</v>
      </c>
    </row>
    <row r="1286" spans="32:39" hidden="1">
      <c r="AF1286" t="e">
        <v>#VALUE!</v>
      </c>
      <c r="AG1286" t="e">
        <v>#VALUE!</v>
      </c>
      <c r="AH1286" t="e">
        <v>#VALUE!</v>
      </c>
      <c r="AI1286" t="e">
        <v>#VALUE!</v>
      </c>
      <c r="AJ1286" t="e">
        <v>#VALUE!</v>
      </c>
      <c r="AK1286" t="e">
        <v>#VALUE!</v>
      </c>
      <c r="AL1286" t="s">
        <v>105</v>
      </c>
      <c r="AM1286" t="e">
        <v>#VALUE!</v>
      </c>
    </row>
    <row r="1287" spans="32:39" hidden="1">
      <c r="AF1287" t="e">
        <v>#VALUE!</v>
      </c>
      <c r="AG1287" t="e">
        <v>#VALUE!</v>
      </c>
      <c r="AH1287" t="e">
        <v>#VALUE!</v>
      </c>
      <c r="AI1287" t="e">
        <v>#VALUE!</v>
      </c>
      <c r="AJ1287" t="e">
        <v>#VALUE!</v>
      </c>
      <c r="AK1287" t="e">
        <v>#VALUE!</v>
      </c>
      <c r="AL1287" t="s">
        <v>105</v>
      </c>
      <c r="AM1287" t="e">
        <v>#VALUE!</v>
      </c>
    </row>
    <row r="1288" spans="32:39" hidden="1">
      <c r="AF1288" t="e">
        <v>#VALUE!</v>
      </c>
      <c r="AG1288" t="e">
        <v>#VALUE!</v>
      </c>
      <c r="AH1288" t="e">
        <v>#VALUE!</v>
      </c>
      <c r="AI1288" t="e">
        <v>#VALUE!</v>
      </c>
      <c r="AJ1288" t="e">
        <v>#VALUE!</v>
      </c>
      <c r="AK1288" t="e">
        <v>#VALUE!</v>
      </c>
      <c r="AL1288" t="s">
        <v>105</v>
      </c>
      <c r="AM1288" t="e">
        <v>#VALUE!</v>
      </c>
    </row>
    <row r="1289" spans="32:39" hidden="1">
      <c r="AF1289" t="e">
        <v>#VALUE!</v>
      </c>
      <c r="AG1289" t="e">
        <v>#VALUE!</v>
      </c>
      <c r="AH1289" t="e">
        <v>#VALUE!</v>
      </c>
      <c r="AI1289" t="e">
        <v>#VALUE!</v>
      </c>
      <c r="AJ1289" t="e">
        <v>#VALUE!</v>
      </c>
      <c r="AK1289" t="e">
        <v>#VALUE!</v>
      </c>
      <c r="AL1289" t="s">
        <v>105</v>
      </c>
      <c r="AM1289" t="e">
        <v>#VALUE!</v>
      </c>
    </row>
    <row r="1290" spans="32:39" hidden="1">
      <c r="AF1290" t="e">
        <v>#VALUE!</v>
      </c>
      <c r="AG1290" t="e">
        <v>#VALUE!</v>
      </c>
      <c r="AH1290" t="e">
        <v>#VALUE!</v>
      </c>
      <c r="AI1290" t="e">
        <v>#VALUE!</v>
      </c>
      <c r="AJ1290" t="e">
        <v>#VALUE!</v>
      </c>
      <c r="AK1290" t="e">
        <v>#VALUE!</v>
      </c>
      <c r="AL1290" t="s">
        <v>105</v>
      </c>
      <c r="AM1290" t="e">
        <v>#VALUE!</v>
      </c>
    </row>
    <row r="1291" spans="32:39" hidden="1">
      <c r="AF1291" t="e">
        <v>#VALUE!</v>
      </c>
      <c r="AG1291" t="e">
        <v>#VALUE!</v>
      </c>
      <c r="AH1291" t="e">
        <v>#VALUE!</v>
      </c>
      <c r="AI1291" t="e">
        <v>#VALUE!</v>
      </c>
      <c r="AJ1291" t="e">
        <v>#VALUE!</v>
      </c>
      <c r="AK1291" t="e">
        <v>#VALUE!</v>
      </c>
      <c r="AL1291" t="s">
        <v>105</v>
      </c>
      <c r="AM1291" t="e">
        <v>#VALUE!</v>
      </c>
    </row>
  </sheetData>
  <autoFilter ref="A1:AM1291" xr:uid="{D7E046B9-D6B5-4D13-B71D-0D5E18F8F4B3}">
    <filterColumn colId="15">
      <customFilters>
        <customFilter operator="greaterThanOrEqual" val="20"/>
      </customFilters>
    </filterColumn>
    <sortState xmlns:xlrd2="http://schemas.microsoft.com/office/spreadsheetml/2017/richdata2" ref="A8:AM454">
      <sortCondition ref="Q1:Q1291"/>
    </sortState>
  </autoFilter>
  <phoneticPr fontId="2" type="noConversion"/>
  <hyperlinks>
    <hyperlink ref="AM2" r:id="rId1" xr:uid="{BAF340EC-B5BF-4EB1-9422-EED1C3453DAE}"/>
    <hyperlink ref="AM3" r:id="rId2" xr:uid="{CE5824EB-8098-46C2-9442-A0C7372A1D82}"/>
    <hyperlink ref="AM4" r:id="rId3" xr:uid="{570B31EC-A19F-4FB0-9D1D-99978AAC3EDF}"/>
    <hyperlink ref="AM5" r:id="rId4" xr:uid="{C9F8BA1B-135E-41A4-92E5-4BA39EF79CF8}"/>
    <hyperlink ref="AM6" r:id="rId5" xr:uid="{8E207526-FE0F-4183-9BD6-D6A84F8D45BB}"/>
    <hyperlink ref="AM7" r:id="rId6" xr:uid="{DC78AA27-350C-45BA-8317-ECBE97EEC977}"/>
    <hyperlink ref="AM8" r:id="rId7" xr:uid="{B165CCD5-2A96-44A6-A7B8-97A097D867BD}"/>
    <hyperlink ref="AM9" r:id="rId8" xr:uid="{74898637-70F9-409B-9822-A5A72E14D162}"/>
    <hyperlink ref="AM10" r:id="rId9" xr:uid="{DA488CBA-1170-4E0A-B5A4-B1148D714C10}"/>
    <hyperlink ref="AM11" r:id="rId10" xr:uid="{EFA4EB99-9B2B-4984-8838-FACAE49E0690}"/>
    <hyperlink ref="AM12" r:id="rId11" xr:uid="{034B76D3-1A92-4852-9177-A438D58597D7}"/>
    <hyperlink ref="AM13" r:id="rId12" xr:uid="{0477865A-80D6-46F2-BCB1-57A8F4195BDF}"/>
    <hyperlink ref="AM14" r:id="rId13" xr:uid="{C73C08BA-223E-49FF-8062-9FFE38B29B00}"/>
    <hyperlink ref="AM15" r:id="rId14" xr:uid="{B9ECACBD-ADA5-41EB-88AC-7B2F58407985}"/>
    <hyperlink ref="AM16" r:id="rId15" xr:uid="{20840D5B-472B-45FB-8207-78F425D38C95}"/>
    <hyperlink ref="AM17" r:id="rId16" xr:uid="{F1408F24-DD21-4B9E-9A61-C2605DB82C49}"/>
    <hyperlink ref="AM18" r:id="rId17" xr:uid="{8C77EB3A-DF7D-41EF-AB49-962AB4A756DC}"/>
    <hyperlink ref="AM19" r:id="rId18" xr:uid="{661333B0-EA04-4500-BFE4-1104BAE1F55B}"/>
    <hyperlink ref="AM20" r:id="rId19" xr:uid="{9857E77A-497C-45BA-96EB-AEDB1ED299C4}"/>
    <hyperlink ref="AM21" r:id="rId20" xr:uid="{3BDBB304-B7F1-42DC-9FD1-CC3B12642697}"/>
    <hyperlink ref="AM22" r:id="rId21" xr:uid="{402958D0-9BF3-4E34-9F4F-978E0B6E1260}"/>
    <hyperlink ref="AM23" r:id="rId22" xr:uid="{5539BFD4-5C08-4668-9B83-7361F9047CF7}"/>
    <hyperlink ref="AM24" r:id="rId23" xr:uid="{5CE28ECE-01FE-41B3-85C3-CDA4E40F693C}"/>
    <hyperlink ref="AM25" r:id="rId24" xr:uid="{DE51E48B-C9E1-4522-9D3D-C716E2E053DE}"/>
    <hyperlink ref="AM26" r:id="rId25" xr:uid="{BD023C69-9FAA-4814-836B-670F9E05E020}"/>
    <hyperlink ref="AM27" r:id="rId26" xr:uid="{C40F59F9-6CCF-4C67-AD29-55FB0DF73558}"/>
    <hyperlink ref="AM28" r:id="rId27" xr:uid="{A27AFD5D-5F3F-4C39-A9F4-39700F0FBCF5}"/>
    <hyperlink ref="AM29" r:id="rId28" xr:uid="{0FF1A19C-E3FC-42F8-A4B9-179D1DC4DE04}"/>
    <hyperlink ref="AM30" r:id="rId29" xr:uid="{38B1DABA-459E-46D7-BE4B-A4FED84C503C}"/>
    <hyperlink ref="AM31" r:id="rId30" xr:uid="{F47BEFE2-6C6F-44B4-AA16-1B1BC96F2E06}"/>
    <hyperlink ref="AM32" r:id="rId31" xr:uid="{30D9884D-2DE7-49AF-A4C7-F7010C3F713B}"/>
    <hyperlink ref="AM33" r:id="rId32" xr:uid="{12EABDA8-9A9E-4B71-98AA-378EA86D3CA2}"/>
    <hyperlink ref="AM34" r:id="rId33" xr:uid="{4EA2BC75-1FF6-4E3F-8C14-6D62D9D8E41D}"/>
    <hyperlink ref="AM35" r:id="rId34" xr:uid="{BA563E29-3531-4D1E-BAF5-AA198EB8A831}"/>
    <hyperlink ref="AM36" r:id="rId35" xr:uid="{81D2838C-41C1-46CB-BEE6-FD9E58C27249}"/>
    <hyperlink ref="AM37" r:id="rId36" xr:uid="{2EF1175F-CC6D-4855-BC24-3E90EE900BAC}"/>
    <hyperlink ref="AM38" r:id="rId37" xr:uid="{5BC64DC3-1FA4-42B8-9D0D-7EBA8F198C87}"/>
    <hyperlink ref="AM39" r:id="rId38" xr:uid="{2C63287D-ADCF-4083-9E07-61A9E4337B06}"/>
    <hyperlink ref="AM40" r:id="rId39" xr:uid="{E98DBF29-8073-4384-AF4E-0B6C170B92CC}"/>
    <hyperlink ref="AM41" r:id="rId40" xr:uid="{FDA0C309-D80E-457B-B9BC-534B2A79EC60}"/>
    <hyperlink ref="AM42" r:id="rId41" xr:uid="{A125548F-284F-4B63-B89F-6B8A8C36024E}"/>
    <hyperlink ref="AM43" r:id="rId42" xr:uid="{B9369BF1-E005-4428-807C-F89705A13C1E}"/>
    <hyperlink ref="AM44" r:id="rId43" xr:uid="{E3C2A142-2638-49E1-8479-5FDD200F9AA1}"/>
    <hyperlink ref="AM45" r:id="rId44" xr:uid="{55235B36-C623-44CE-9479-11073051A41C}"/>
    <hyperlink ref="AM46" r:id="rId45" xr:uid="{47497CC8-6D29-44BF-9921-4CE72055CEB3}"/>
    <hyperlink ref="AM47" r:id="rId46" xr:uid="{4C10CBB5-4510-4BB5-A502-68D240F5FDAA}"/>
    <hyperlink ref="AM48" r:id="rId47" xr:uid="{8E5FEC50-8CBB-4FA7-B4BC-5DECFC7E6C42}"/>
    <hyperlink ref="AM49" r:id="rId48" xr:uid="{BB7A00B9-D95E-491A-9368-87BCCA0DBD54}"/>
    <hyperlink ref="AM50" r:id="rId49" xr:uid="{0838DE37-3896-4F54-ACA5-6A888581D4C6}"/>
    <hyperlink ref="AM51" r:id="rId50" xr:uid="{002ACE82-A331-46EE-9761-8EB785D98F85}"/>
    <hyperlink ref="AM52" r:id="rId51" xr:uid="{B6C3D205-542F-4451-B66E-E333E5D2F760}"/>
    <hyperlink ref="AM53" r:id="rId52" xr:uid="{9BBF81A2-56B6-452C-A5F3-ECC8BC0BA5F7}"/>
    <hyperlink ref="AM54" r:id="rId53" xr:uid="{6B9F0339-E53B-4B6E-A7C3-E4F03B546429}"/>
    <hyperlink ref="AM55" r:id="rId54" xr:uid="{AF6281D4-24A5-48F4-A5A6-152B9E7E0F8B}"/>
    <hyperlink ref="AM56" r:id="rId55" xr:uid="{590B67AE-EE9E-4769-B1C0-5E5B63527468}"/>
    <hyperlink ref="AM57" r:id="rId56" xr:uid="{17AE3FB7-B479-420C-B3BE-60158941F509}"/>
    <hyperlink ref="AM58" r:id="rId57" xr:uid="{D63277F8-DD6C-4A3A-B4DD-3F03C3C0B58A}"/>
    <hyperlink ref="AM59" r:id="rId58" xr:uid="{96EAA4EE-9282-4D77-AE13-F61A8C81F9B8}"/>
    <hyperlink ref="AM60" r:id="rId59" xr:uid="{AF56D324-ADE6-4E1C-8B46-D91CF98EBE47}"/>
    <hyperlink ref="AM61" r:id="rId60" xr:uid="{BEC18500-C3B6-4B6D-95D3-170D84D2AC43}"/>
    <hyperlink ref="AM62" r:id="rId61" xr:uid="{F36FD8FF-F3C5-4003-877B-6A01C797A405}"/>
    <hyperlink ref="AM63" r:id="rId62" xr:uid="{A205846D-0BFC-433E-A24D-B736BB5F459D}"/>
    <hyperlink ref="AM64" r:id="rId63" xr:uid="{DC89621D-B82C-4CD4-95F2-EB77EEEF6330}"/>
    <hyperlink ref="AM65" r:id="rId64" xr:uid="{0D6DD2C1-8BEA-43F0-9205-D5F434BAFE73}"/>
    <hyperlink ref="AM66" r:id="rId65" xr:uid="{4C4FE8A8-1EB5-4597-B10E-741918721EC3}"/>
    <hyperlink ref="AM67" r:id="rId66" xr:uid="{A8FB303B-5C18-4027-9117-56AC7B7AE04D}"/>
    <hyperlink ref="AM68" r:id="rId67" xr:uid="{046BBB3A-6984-4743-A0D3-425EF63988A5}"/>
    <hyperlink ref="AM69" r:id="rId68" xr:uid="{4B8BB9D6-4329-45BD-9C5F-2D5A90D79E49}"/>
    <hyperlink ref="AM70" r:id="rId69" xr:uid="{99D0D94E-F7FB-404A-AA33-F8D2C8F06069}"/>
    <hyperlink ref="AM71" r:id="rId70" xr:uid="{EC9F342D-BFFC-4167-ACD3-C13360EE7E8A}"/>
    <hyperlink ref="AM72" r:id="rId71" xr:uid="{4FDFF699-AC7F-4F52-BA53-4A1BF82D5795}"/>
    <hyperlink ref="AM73" r:id="rId72" xr:uid="{A2608F65-BF54-4D9E-9CC1-310AEDD4E704}"/>
    <hyperlink ref="AM74" r:id="rId73" xr:uid="{9F2A1763-B819-418B-AC3E-FCBED491D1BC}"/>
    <hyperlink ref="AM75" r:id="rId74" xr:uid="{A7C6F8CC-3E4C-4DAF-B8FB-F87F59FD9DA3}"/>
    <hyperlink ref="AM76" r:id="rId75" xr:uid="{4207342E-6663-4AA3-8E54-14E27E3FB0F9}"/>
    <hyperlink ref="AM77" r:id="rId76" xr:uid="{D43C7864-B09F-44E1-8F35-BDB2542FC8D2}"/>
    <hyperlink ref="AM78" r:id="rId77" xr:uid="{1679C802-7542-4EFB-8269-0AC6CFB1CAA9}"/>
    <hyperlink ref="AM79" r:id="rId78" xr:uid="{AEBF88D6-B69E-445C-BB99-30898D6BF1BB}"/>
    <hyperlink ref="AM80" r:id="rId79" xr:uid="{5858ABDA-53EF-49C8-981B-08EB5AFC2E05}"/>
    <hyperlink ref="AM81" r:id="rId80" xr:uid="{EC40EB27-BF1A-467A-A22E-743EDD0B5679}"/>
    <hyperlink ref="AM82" r:id="rId81" xr:uid="{CD44ED34-6DC0-4EE1-A0F3-ACF1A67F385A}"/>
    <hyperlink ref="AM83" r:id="rId82" xr:uid="{C497EA56-877B-4232-BA04-99E8F734B3DA}"/>
    <hyperlink ref="AM84" r:id="rId83" xr:uid="{16BB69C0-C334-4288-8560-7748A4BE822E}"/>
    <hyperlink ref="AM85" r:id="rId84" xr:uid="{7D960983-366A-44D7-A7FC-C4EC22BE60A0}"/>
    <hyperlink ref="AM86" r:id="rId85" xr:uid="{780AF649-023E-4188-918C-0F27F1AC6A3F}"/>
    <hyperlink ref="AM87" r:id="rId86" xr:uid="{BB4DA645-9214-4763-9129-2A0600310660}"/>
    <hyperlink ref="AM88" r:id="rId87" xr:uid="{B770B57F-013B-4238-894C-DDDAC2FF3E36}"/>
    <hyperlink ref="AM89" r:id="rId88" xr:uid="{F6B02FD7-FF61-480C-8BD0-16E26968AF69}"/>
    <hyperlink ref="AM90" r:id="rId89" xr:uid="{6047B928-57E5-4B74-81D8-A648BE7E1BE0}"/>
    <hyperlink ref="AM91" r:id="rId90" xr:uid="{BAE57F67-E9DD-42FA-98B0-481B3C1B4CC6}"/>
    <hyperlink ref="AM92" r:id="rId91" xr:uid="{1BAC9440-37DE-4506-8FE5-5AA7F3132787}"/>
    <hyperlink ref="AM93" r:id="rId92" xr:uid="{6814678C-32D9-4C49-9263-C9FDD3EC8073}"/>
    <hyperlink ref="AM94" r:id="rId93" xr:uid="{E6B6A543-7418-4DBC-A541-8765DDD3A98B}"/>
    <hyperlink ref="AM95" r:id="rId94" xr:uid="{9C6676F6-0655-42DF-AE68-D0AB1291EAB2}"/>
    <hyperlink ref="AM96" r:id="rId95" xr:uid="{3AE27687-E76D-460E-9870-4F3E7655196C}"/>
    <hyperlink ref="AM97" r:id="rId96" xr:uid="{D265732F-B876-4A4D-ADA5-BDF2E4E58CBB}"/>
    <hyperlink ref="AM98" r:id="rId97" xr:uid="{39C4141C-6FBE-4702-B901-157A245EE6B2}"/>
    <hyperlink ref="AM99" r:id="rId98" xr:uid="{843354FB-F62E-482C-8868-21F8078D3A42}"/>
    <hyperlink ref="AM100" r:id="rId99" xr:uid="{08402328-B210-43FB-B955-AEBDA22090CE}"/>
    <hyperlink ref="AM101" r:id="rId100" xr:uid="{BF29730F-6DD2-418A-B877-14988A5ECF2A}"/>
    <hyperlink ref="AM102" r:id="rId101" xr:uid="{3B870BBB-9676-4887-9F1B-059F50217AB8}"/>
    <hyperlink ref="AM103" r:id="rId102" xr:uid="{F02D61D8-11D1-41ED-8D57-090E3C01A4B2}"/>
    <hyperlink ref="AM104" r:id="rId103" xr:uid="{4C3E0BA4-A16E-4753-9EC5-A3F58D90E4B5}"/>
    <hyperlink ref="AM105" r:id="rId104" xr:uid="{E35FB220-3ECB-4C8D-BD43-36CF5DD2D916}"/>
    <hyperlink ref="AM106" r:id="rId105" xr:uid="{2AF8EB81-C77E-43C9-A13D-6066A23634E7}"/>
    <hyperlink ref="AM107" r:id="rId106" xr:uid="{1D8801BA-68C6-4671-BC8A-6B781DB33473}"/>
    <hyperlink ref="AM108" r:id="rId107" xr:uid="{032CC465-F8F7-4722-8A8A-53BDB3E6CCEC}"/>
    <hyperlink ref="AM109" r:id="rId108" xr:uid="{71461CB3-C828-4506-864E-408D49CDA744}"/>
    <hyperlink ref="AM110" r:id="rId109" xr:uid="{8DADC04C-AD20-4EFB-9D98-79D482855E23}"/>
    <hyperlink ref="AM111" r:id="rId110" xr:uid="{B3D80A35-7134-46CA-AD70-115FD4C89B72}"/>
    <hyperlink ref="AM112" r:id="rId111" xr:uid="{E8C40D31-7EBB-4F42-94E2-3333A146CFD5}"/>
    <hyperlink ref="AM113" r:id="rId112" xr:uid="{87D30211-9019-474C-9FB0-E92F36B1CAB1}"/>
    <hyperlink ref="AM114" r:id="rId113" xr:uid="{0FE3E60C-77AC-4777-99F0-8632BCEDD949}"/>
    <hyperlink ref="AM115" r:id="rId114" xr:uid="{190C3834-5ECA-4CC0-91A1-750E3047A3F5}"/>
    <hyperlink ref="AM116" r:id="rId115" xr:uid="{E3A98BC1-368B-4811-95ED-D65CBE024789}"/>
    <hyperlink ref="AM117" r:id="rId116" xr:uid="{CC138138-74E0-4318-B782-363BD37794F3}"/>
    <hyperlink ref="AM118" r:id="rId117" xr:uid="{BEAC1BC1-8846-4492-AA05-888105E10162}"/>
    <hyperlink ref="AM119" r:id="rId118" xr:uid="{CC8ED650-18B5-4748-8B32-96E9E33656AC}"/>
    <hyperlink ref="AM120" r:id="rId119" xr:uid="{E062ACAE-CA79-4910-BC9D-AF07C94A8CCD}"/>
    <hyperlink ref="AM121" r:id="rId120" xr:uid="{C67B2332-439B-4506-BD34-750080148BC2}"/>
    <hyperlink ref="AM122" r:id="rId121" xr:uid="{4373DA44-3FD3-43BD-B1B0-E4E30B5A08B3}"/>
    <hyperlink ref="AM123" r:id="rId122" xr:uid="{C9826ACC-0206-42A9-B769-52E0C94FCC00}"/>
    <hyperlink ref="AM124" r:id="rId123" xr:uid="{D29AC10C-75C9-489D-B7E4-CE76A5666E56}"/>
    <hyperlink ref="AM125" r:id="rId124" xr:uid="{56AC4C3B-7B21-4113-9B36-7F30C9577EB9}"/>
    <hyperlink ref="AM126" r:id="rId125" xr:uid="{7EE70E24-B129-4D95-92EE-E238C0199CA4}"/>
    <hyperlink ref="AM127" r:id="rId126" xr:uid="{A1BED378-9AA3-4330-9BFB-6476CE6CB966}"/>
    <hyperlink ref="AM128" r:id="rId127" xr:uid="{15D1837A-BD58-4031-857C-5F771E02FBBB}"/>
    <hyperlink ref="AM129" r:id="rId128" xr:uid="{6F4D9A17-5F76-4919-BB9C-0EC78E20D24A}"/>
    <hyperlink ref="AM130" r:id="rId129" xr:uid="{A5834276-EA5B-4B2B-9155-4047482E2B9E}"/>
    <hyperlink ref="AM131" r:id="rId130" xr:uid="{914D15B1-8655-465D-AA1C-9C4E27D60BA3}"/>
    <hyperlink ref="AM132" r:id="rId131" xr:uid="{D1A6C2A2-5EDD-44A0-B0BA-831AE5F4687C}"/>
    <hyperlink ref="AM133" r:id="rId132" xr:uid="{CADEFE49-D4DB-4DCF-8E1B-9B398FAA384F}"/>
    <hyperlink ref="AM134" r:id="rId133" xr:uid="{E24C473F-20E4-43A8-8BB2-A0A35034748B}"/>
    <hyperlink ref="AM135" r:id="rId134" xr:uid="{818576B1-8855-4B3D-BE7D-50E0F9C41660}"/>
    <hyperlink ref="AM136" r:id="rId135" xr:uid="{72EC35F3-F4ED-4299-99AB-A037A8C5D9B6}"/>
    <hyperlink ref="AM137" r:id="rId136" xr:uid="{B3EFE66F-3B18-449F-AB54-F41466FB31D3}"/>
    <hyperlink ref="AM138" r:id="rId137" xr:uid="{023BCCA2-1BAA-49C6-B257-99716312D3CA}"/>
    <hyperlink ref="AM139" r:id="rId138" xr:uid="{FFF946B1-7778-4763-B337-411DEAF41467}"/>
    <hyperlink ref="AM140" r:id="rId139" xr:uid="{D798B389-267C-4660-9188-E429B6E56887}"/>
    <hyperlink ref="AM141" r:id="rId140" xr:uid="{24812B61-2B0A-4522-9A07-596773D3E2DB}"/>
    <hyperlink ref="AM142" r:id="rId141" xr:uid="{58627602-56A2-4DD8-B28A-9A3C2410D1C7}"/>
    <hyperlink ref="AM143" r:id="rId142" xr:uid="{44704F16-2A06-4D2A-BD90-EEB23114D908}"/>
    <hyperlink ref="AM144" r:id="rId143" xr:uid="{8524F327-59E4-43B4-8226-825DF1403BCB}"/>
    <hyperlink ref="AM145" r:id="rId144" xr:uid="{F6DA308D-34DA-4E6F-9AFD-9D93163D2030}"/>
    <hyperlink ref="AM146" r:id="rId145" xr:uid="{945A76C7-8F4F-40C8-B795-D16766458D69}"/>
    <hyperlink ref="AM147" r:id="rId146" xr:uid="{1D83BADB-E616-4053-81D4-0AF2BEE39567}"/>
    <hyperlink ref="AM148" r:id="rId147" xr:uid="{DBB299B8-2C2D-4014-82A7-4557902166DC}"/>
    <hyperlink ref="AM149" r:id="rId148" xr:uid="{79ABB9E1-4494-4E44-9F98-A906D3E492ED}"/>
    <hyperlink ref="AM150" r:id="rId149" xr:uid="{4FA03827-6424-4E82-9581-27921F711BC8}"/>
    <hyperlink ref="AM151" r:id="rId150" xr:uid="{ECAE772D-16FF-46FC-BA35-A34571E2151E}"/>
    <hyperlink ref="AM152" r:id="rId151" xr:uid="{D847A62A-C1EC-47D2-9913-CA41D0866548}"/>
    <hyperlink ref="AM153" r:id="rId152" xr:uid="{EF36CF86-38CE-4681-B93C-CB0E75980334}"/>
    <hyperlink ref="AM154" r:id="rId153" xr:uid="{90E11DAB-98CD-492B-BD84-C4D7FEFE9641}"/>
    <hyperlink ref="AM155" r:id="rId154" xr:uid="{94F4BC59-C192-4AA9-B93E-C93C74A96E69}"/>
    <hyperlink ref="AM156" r:id="rId155" xr:uid="{02C20954-1F99-4CD4-B819-6699A3CB8492}"/>
    <hyperlink ref="AM157" r:id="rId156" xr:uid="{1F232762-324A-4E18-A127-4C5E835826C3}"/>
    <hyperlink ref="AM158" r:id="rId157" xr:uid="{FDF06BD2-9D7C-41A8-9D55-5E4286F90EF4}"/>
    <hyperlink ref="AM159" r:id="rId158" xr:uid="{0462B322-F931-4FBA-B948-2B67487D15D9}"/>
    <hyperlink ref="AM160" r:id="rId159" xr:uid="{0E683ACB-AD4F-4D78-AF45-596FF1530951}"/>
    <hyperlink ref="AM161" r:id="rId160" xr:uid="{E5AF2D7F-A9E3-4AEB-8084-6DDCDE68AB3F}"/>
    <hyperlink ref="AM162" r:id="rId161" xr:uid="{BAEFDE40-2275-4F3C-9100-79406F62CFA5}"/>
    <hyperlink ref="AM163" r:id="rId162" xr:uid="{29600024-E5FC-4E56-B2D1-2EEE745F6B0A}"/>
    <hyperlink ref="AM164" r:id="rId163" xr:uid="{37436F94-6D54-4DE5-9EA3-585B262C70A5}"/>
    <hyperlink ref="AM165" r:id="rId164" xr:uid="{365C0AD3-56ED-4A57-97DF-67C05938A158}"/>
    <hyperlink ref="AM166" r:id="rId165" xr:uid="{FEAE050B-AD80-44B2-8184-39C0C1356A5F}"/>
    <hyperlink ref="AM167" r:id="rId166" xr:uid="{94CF0067-4423-41A8-B580-4627D638FA65}"/>
    <hyperlink ref="AM168" r:id="rId167" xr:uid="{DC1FE216-E715-4EB7-B47A-3E8504AA3069}"/>
    <hyperlink ref="AM169" r:id="rId168" xr:uid="{C84085A7-6E01-4A28-8D32-451D02E933E9}"/>
    <hyperlink ref="AM170" r:id="rId169" xr:uid="{0EC915D1-BD96-4EA1-AC92-52B22F6BD9AE}"/>
    <hyperlink ref="AM171" r:id="rId170" xr:uid="{5485B888-3237-4CBC-AE77-BFEDFC5AC515}"/>
    <hyperlink ref="AM172" r:id="rId171" xr:uid="{1CAED1B1-A6FA-44E0-846B-3439717A2D78}"/>
    <hyperlink ref="AM173" r:id="rId172" xr:uid="{1A3136F9-AED8-4A81-9260-EEC5BCC4EAC5}"/>
    <hyperlink ref="AM174" r:id="rId173" xr:uid="{1B2DD727-9B36-4F53-A47B-C295ABFDC399}"/>
    <hyperlink ref="AM175" r:id="rId174" xr:uid="{CE8F6666-76AC-47E2-AC94-CF51BCEAD2C2}"/>
    <hyperlink ref="AM176" r:id="rId175" xr:uid="{DBDD4A21-59E6-4645-B5EE-465F3AE98DDF}"/>
    <hyperlink ref="AM177" r:id="rId176" xr:uid="{7EC0A412-C5EC-4996-AE5D-3BA7B75753B3}"/>
    <hyperlink ref="AM178" r:id="rId177" xr:uid="{F0BDC6A4-C660-4FCE-9EBD-AAADE83D422C}"/>
    <hyperlink ref="AM179" r:id="rId178" xr:uid="{4CFB43BB-986C-442E-B9DB-0CB72D22E2FC}"/>
    <hyperlink ref="AM180" r:id="rId179" xr:uid="{65069DF7-F711-4247-BA82-FC3F1770955E}"/>
    <hyperlink ref="AM181" r:id="rId180" xr:uid="{499C5885-229B-4106-B84D-FF35F4DAC99A}"/>
    <hyperlink ref="AM182" r:id="rId181" xr:uid="{09FB7B2A-6558-4220-8437-68795506D209}"/>
    <hyperlink ref="AM183" r:id="rId182" xr:uid="{8EEB7241-24C2-4D90-805E-0F1326B522E2}"/>
    <hyperlink ref="AM184" r:id="rId183" xr:uid="{E200CCB8-AC5C-458B-958F-E92FF3D98709}"/>
    <hyperlink ref="AM185" r:id="rId184" xr:uid="{F2D51E98-2D3C-4213-8CBD-2B3852A42B6E}"/>
    <hyperlink ref="AM186" r:id="rId185" xr:uid="{0B7AF37B-32EC-4E70-9BC6-20A1A0AC84F0}"/>
    <hyperlink ref="AM187" r:id="rId186" xr:uid="{16E85A91-3467-438F-B61D-0A226C7952EA}"/>
    <hyperlink ref="AM188" r:id="rId187" xr:uid="{EA28D0ED-8305-4AFA-B250-8FAC7FB2B303}"/>
    <hyperlink ref="AM189" r:id="rId188" xr:uid="{5EE840C6-0F43-434C-992D-A7AC909E1965}"/>
    <hyperlink ref="AM190" r:id="rId189" xr:uid="{2032DFF1-BB76-45C4-903E-0543820F6750}"/>
    <hyperlink ref="AM191" r:id="rId190" xr:uid="{F13AD831-33EA-42CC-BB3B-CA117D09E82E}"/>
    <hyperlink ref="AM192" r:id="rId191" xr:uid="{CA808F0E-6855-4C1D-94A8-8E9B0C9B5894}"/>
    <hyperlink ref="AM193" r:id="rId192" xr:uid="{6D24B8BE-1519-44CF-8B2A-75398BF0A827}"/>
    <hyperlink ref="AM194" r:id="rId193" xr:uid="{AF13BF7B-56F7-483E-A1BF-015A3197CB81}"/>
    <hyperlink ref="AM195" r:id="rId194" xr:uid="{0854DFCC-7395-4A28-9356-F8152BBF922E}"/>
    <hyperlink ref="AM196" r:id="rId195" xr:uid="{694CFE96-C39C-449C-8A15-D5BE9BC639BB}"/>
    <hyperlink ref="AM197" r:id="rId196" xr:uid="{B8BB8B79-8816-48E3-BD2D-1EC7E52871DC}"/>
    <hyperlink ref="AM198" r:id="rId197" xr:uid="{3441AFA2-6BEC-4517-8D8D-87CFEDBB56BC}"/>
    <hyperlink ref="AM199" r:id="rId198" xr:uid="{AFC5AD97-1E70-418B-803B-F2417AC0A423}"/>
    <hyperlink ref="AM200" r:id="rId199" xr:uid="{1B0C33FC-00DA-4FAF-A309-612599CD9377}"/>
    <hyperlink ref="AM201" r:id="rId200" xr:uid="{B4C8129E-9AEA-4F1D-B580-E05D833D3521}"/>
    <hyperlink ref="AM202" r:id="rId201" xr:uid="{6C9E4B01-FEB6-40CF-99C7-ACA88BAB9338}"/>
    <hyperlink ref="AM203" r:id="rId202" xr:uid="{A34FA742-3F1F-4410-AEC4-0A61006390FE}"/>
    <hyperlink ref="AM204" r:id="rId203" xr:uid="{F4F1E111-8219-4E95-BBF0-7F6F0DC17233}"/>
    <hyperlink ref="AM205" r:id="rId204" xr:uid="{14DCE265-3C0A-4B1D-AD57-1A3DFE10382C}"/>
    <hyperlink ref="AM206" r:id="rId205" xr:uid="{F0A2D2D1-43C9-487E-BBFC-D161890F3FA5}"/>
    <hyperlink ref="AM207" r:id="rId206" xr:uid="{ABDBE835-D2ED-4DB0-8669-2725867A93FA}"/>
    <hyperlink ref="AM208" r:id="rId207" xr:uid="{F4893CEC-FB4E-42EC-B61B-CDC8B62F5B17}"/>
    <hyperlink ref="AM209" r:id="rId208" xr:uid="{5F13CB47-A47B-47AA-847D-1184E8B13D86}"/>
    <hyperlink ref="AM210" r:id="rId209" xr:uid="{7471D63A-674A-4DB4-A7B8-A5F05949B2FA}"/>
    <hyperlink ref="AM211" r:id="rId210" xr:uid="{167CCA09-A0B5-4B61-8D81-17C663AEA7C8}"/>
    <hyperlink ref="AM212" r:id="rId211" xr:uid="{D9FC48FA-054B-4653-B35E-DC646DC6A8AB}"/>
    <hyperlink ref="AM213" r:id="rId212" xr:uid="{FBC489F9-E0ED-41E6-9738-EB3C0D5050D0}"/>
    <hyperlink ref="AM214" r:id="rId213" xr:uid="{A66B42A1-1ED7-4590-A16A-C3F994EFE351}"/>
    <hyperlink ref="AM215" r:id="rId214" xr:uid="{B34D6F53-338B-4D64-A9B5-2A75A5B10C49}"/>
    <hyperlink ref="AM216" r:id="rId215" xr:uid="{BD579FD5-B12A-43C2-8D48-71AF5F75E3DB}"/>
    <hyperlink ref="AM217" r:id="rId216" xr:uid="{D5FC1D34-2EDA-4F1D-8CE9-820A794303CA}"/>
    <hyperlink ref="AM218" r:id="rId217" xr:uid="{C09CEEF3-4522-4510-A25C-FB74CB616C71}"/>
    <hyperlink ref="AM219" r:id="rId218" xr:uid="{BFD4B824-3751-4B3E-9F6A-0631BB2B3B18}"/>
    <hyperlink ref="AM220" r:id="rId219" xr:uid="{48EE7C39-1674-4DE4-BBB7-AB0590948E87}"/>
    <hyperlink ref="AM221" r:id="rId220" xr:uid="{FB7A87B2-8CA6-4BC0-812C-D001916B777A}"/>
    <hyperlink ref="AM222" r:id="rId221" xr:uid="{6D4AF2EA-5050-4929-8787-CC902588554B}"/>
    <hyperlink ref="AM223" r:id="rId222" xr:uid="{778F4C58-F1FC-45FD-9B5A-D6F305450E69}"/>
    <hyperlink ref="AM224" r:id="rId223" xr:uid="{14B0DA0D-C9F4-487D-A0D0-054151AB1BD0}"/>
    <hyperlink ref="AM225" r:id="rId224" xr:uid="{C790228D-381A-40CF-A296-5AC83AE208CA}"/>
    <hyperlink ref="AM226" r:id="rId225" xr:uid="{FD34471F-6ECE-46DD-890C-92EEE07023E6}"/>
    <hyperlink ref="AM227" r:id="rId226" xr:uid="{BDFBFA60-F73F-4E8A-BCE1-52B98E9F7307}"/>
    <hyperlink ref="AM228" r:id="rId227" xr:uid="{3A220EFA-48CA-49A6-B876-0C7B073434EB}"/>
    <hyperlink ref="AM229" r:id="rId228" xr:uid="{FA3A7629-4933-4738-8712-36745FDE63C0}"/>
    <hyperlink ref="AM230" r:id="rId229" xr:uid="{0389A216-8FB5-461C-93EF-DBB600381498}"/>
    <hyperlink ref="AM231" r:id="rId230" xr:uid="{707EB12B-3B07-4BDA-BAAF-E3975FABE1A5}"/>
    <hyperlink ref="AM232" r:id="rId231" xr:uid="{C7402624-4B5F-484B-97BF-125AE87E0A10}"/>
    <hyperlink ref="AM233" r:id="rId232" xr:uid="{FDF677DB-BDC7-44F4-BC41-569786CD9389}"/>
    <hyperlink ref="AM234" r:id="rId233" xr:uid="{70AA895D-AC68-404E-B3B1-8A303C2E9BB8}"/>
    <hyperlink ref="AM235" r:id="rId234" xr:uid="{CA88938F-7C08-4EB8-9737-3E59DE711F2E}"/>
    <hyperlink ref="AM236" r:id="rId235" xr:uid="{F852CB7E-FCAE-4715-A650-99BF63134C70}"/>
    <hyperlink ref="AM237" r:id="rId236" xr:uid="{E5AE76B4-3040-4491-8137-4836DE004356}"/>
    <hyperlink ref="AM238" r:id="rId237" xr:uid="{88F287CC-A7D5-45FA-A253-5169C2DC3583}"/>
    <hyperlink ref="AM239" r:id="rId238" xr:uid="{24C794B7-1B25-4A85-B017-C8512B950482}"/>
    <hyperlink ref="AM240" r:id="rId239" xr:uid="{201F1DFB-EBF1-4E84-8D43-FA6B4E161B0D}"/>
    <hyperlink ref="AM241" r:id="rId240" xr:uid="{E985CA73-CB8D-44EC-9029-784E47242F33}"/>
    <hyperlink ref="AM242" r:id="rId241" xr:uid="{C0000A1B-6AC6-4D02-BD64-5072A5A8E65E}"/>
    <hyperlink ref="AM243" r:id="rId242" xr:uid="{8099DB2D-DE06-4DE7-9EC6-46472ED0F50B}"/>
    <hyperlink ref="AM244" r:id="rId243" xr:uid="{A6A98AAA-0390-4515-9D1D-34D9BC0BD9E7}"/>
    <hyperlink ref="AM245" r:id="rId244" xr:uid="{5868ECD7-DC25-473E-AC7E-8227A82D722E}"/>
    <hyperlink ref="AM246" r:id="rId245" xr:uid="{23ADE287-46FA-4ED8-BC22-9493D056790B}"/>
    <hyperlink ref="AM247" r:id="rId246" xr:uid="{2A984070-8F04-4ADB-9B2A-76638554E2A4}"/>
    <hyperlink ref="AM248" r:id="rId247" xr:uid="{91DD615A-565F-4F99-99B8-0BEC4FF0E1E1}"/>
    <hyperlink ref="AM249" r:id="rId248" xr:uid="{A4267546-349E-4C60-95C1-5EDA9FD0FBEA}"/>
    <hyperlink ref="AM250" r:id="rId249" xr:uid="{151CAF0D-A842-4C97-8A11-A394A0E7F056}"/>
    <hyperlink ref="AM251" r:id="rId250" xr:uid="{E6EE2513-D44A-489D-AE2F-530BE4348459}"/>
    <hyperlink ref="AM252" r:id="rId251" xr:uid="{8F05B255-D6F7-4C1F-9894-D8668F28A9EA}"/>
    <hyperlink ref="AM253" r:id="rId252" xr:uid="{1755273D-5EE5-4B2F-B487-8725728D1F8F}"/>
    <hyperlink ref="AM254" r:id="rId253" xr:uid="{A98DAFAB-E19E-4997-8AEF-DAF9C065D5BC}"/>
    <hyperlink ref="AM255" r:id="rId254" xr:uid="{197877E3-0415-4978-BDE6-FE95EDEB80AD}"/>
    <hyperlink ref="AM256" r:id="rId255" xr:uid="{3135169C-4579-4083-BF12-5BF41832369D}"/>
    <hyperlink ref="AM257" r:id="rId256" xr:uid="{D7D5C24F-D76D-4B29-857B-B924B41B30DB}"/>
    <hyperlink ref="AM258" r:id="rId257" xr:uid="{11664B7A-7FA1-45BD-A010-96019FBCA71E}"/>
    <hyperlink ref="AM259" r:id="rId258" xr:uid="{5B1EBD66-88ED-4C09-BE1E-8305C23E77DF}"/>
    <hyperlink ref="AM260" r:id="rId259" xr:uid="{F3B5740A-9766-4D6F-AE12-DE1A52A7C33D}"/>
    <hyperlink ref="AM261" r:id="rId260" xr:uid="{7C4D2E33-A922-4826-AD87-E13556744D35}"/>
    <hyperlink ref="AM262" r:id="rId261" xr:uid="{96492332-B6D0-47B8-8ABF-6EECEC71AF92}"/>
    <hyperlink ref="AM263" r:id="rId262" xr:uid="{81DE7518-2C63-4381-BDB8-8EB04681023E}"/>
    <hyperlink ref="AM264" r:id="rId263" xr:uid="{8A87A772-FD60-4F9E-B2DC-34373C512475}"/>
    <hyperlink ref="AM265" r:id="rId264" xr:uid="{F5A6FB70-5683-4882-9E09-BD99AC1C9088}"/>
    <hyperlink ref="AM266" r:id="rId265" xr:uid="{9D531EF2-843F-4377-946F-544FF135D18A}"/>
    <hyperlink ref="AM267" r:id="rId266" xr:uid="{050C1C5A-9B7D-4F18-B35A-A70290EDB184}"/>
    <hyperlink ref="AM268" r:id="rId267" xr:uid="{0030393B-231B-42AA-BC3E-4FB309959ED1}"/>
    <hyperlink ref="AM269" r:id="rId268" xr:uid="{DD62FFFD-8E8C-49F6-80C7-A335148EEE5D}"/>
    <hyperlink ref="AM270" r:id="rId269" xr:uid="{80379482-6531-46D5-A3CA-DA0E5A910578}"/>
    <hyperlink ref="AM271" r:id="rId270" xr:uid="{69851C80-16FC-4F9A-AE57-75D3A61D3CC5}"/>
    <hyperlink ref="AM272" r:id="rId271" xr:uid="{E64B8116-A0F6-408E-AE4E-F6F5B9D124E7}"/>
    <hyperlink ref="AM273" r:id="rId272" xr:uid="{1AF791DB-0CA4-4F01-AA7A-7E063E6413C8}"/>
    <hyperlink ref="AM274" r:id="rId273" xr:uid="{1201BC73-287D-4554-99FE-BD1DAC6E342C}"/>
    <hyperlink ref="AM275" r:id="rId274" xr:uid="{8D641FD4-54F6-4710-8FFF-936397A420A2}"/>
    <hyperlink ref="AM276" r:id="rId275" xr:uid="{4EC24AAE-4A1A-4452-A416-58F2EB1859B9}"/>
    <hyperlink ref="AM277" r:id="rId276" xr:uid="{99DC8B35-1F9C-445F-801C-C874769B04EE}"/>
    <hyperlink ref="AM278" r:id="rId277" xr:uid="{0AF40290-74C2-4C20-B27C-5834AE06E6F4}"/>
    <hyperlink ref="AM279" r:id="rId278" xr:uid="{DE042DA1-DCE2-4762-8C13-603BD85D002A}"/>
    <hyperlink ref="AM280" r:id="rId279" xr:uid="{EABC4CA5-8616-424E-9480-FF20B469FDE1}"/>
    <hyperlink ref="AM281" r:id="rId280" xr:uid="{F676DBA3-7EAD-41AC-B9DA-087454691D62}"/>
    <hyperlink ref="AM282" r:id="rId281" xr:uid="{0B6718A0-4011-44E0-9EF6-DA5480868C2B}"/>
    <hyperlink ref="AM283" r:id="rId282" xr:uid="{9FC5CC7B-A1A9-44F8-A76F-E16D4DD7FEF8}"/>
    <hyperlink ref="AM284" r:id="rId283" xr:uid="{1981E431-5C30-4FDB-A555-29694C29F56C}"/>
    <hyperlink ref="AM285" r:id="rId284" xr:uid="{34AD1894-4183-4934-B6F5-E1588D204FA4}"/>
    <hyperlink ref="AM286" r:id="rId285" xr:uid="{3415D009-3B38-49C1-A709-D3022CCAE9D8}"/>
    <hyperlink ref="AM287" r:id="rId286" xr:uid="{C87B399C-548E-4192-84A1-4BE6039C6B17}"/>
    <hyperlink ref="AM288" r:id="rId287" xr:uid="{A3D05F31-18C2-4CEB-ABA5-3854CD5187D7}"/>
    <hyperlink ref="AM289" r:id="rId288" xr:uid="{4F042D07-F4A2-49B3-B9B8-02375E4046AC}"/>
    <hyperlink ref="AM290" r:id="rId289" xr:uid="{170A8E85-9213-468F-A237-581E25AD6583}"/>
    <hyperlink ref="AM291" r:id="rId290" xr:uid="{091C77F3-468B-486C-91F5-B9F1F126A2F2}"/>
    <hyperlink ref="AM292" r:id="rId291" xr:uid="{03765B06-4A93-484D-AC94-73FD1F83D7BA}"/>
    <hyperlink ref="AM293" r:id="rId292" xr:uid="{FFDC2A70-8F90-44EB-A7DE-84C454EC06F5}"/>
    <hyperlink ref="AM294" r:id="rId293" xr:uid="{6B6D9D0F-DB8C-4E01-A4EA-DC79A0BAB155}"/>
    <hyperlink ref="AM295" r:id="rId294" xr:uid="{63F9A6A7-19A6-49AD-B388-EB87BACCA9BD}"/>
    <hyperlink ref="AM296" r:id="rId295" xr:uid="{0F419D96-5DFA-4E49-9361-0D8F421AA409}"/>
    <hyperlink ref="AM297" r:id="rId296" xr:uid="{9211852F-6C5B-415B-89F4-2AC0843731E2}"/>
    <hyperlink ref="AM298" r:id="rId297" xr:uid="{2E744E4E-778F-4A9A-9F58-06C54F8F1B1B}"/>
    <hyperlink ref="AM299" r:id="rId298" xr:uid="{5A0C21CF-4420-4CD1-BAE8-34BDC211184B}"/>
    <hyperlink ref="AM300" r:id="rId299" xr:uid="{D7273B59-4780-429B-80E1-3C5F1E2BBADD}"/>
    <hyperlink ref="AM301" r:id="rId300" xr:uid="{7E64666E-F66F-4188-A3F8-8B9B486A48FF}"/>
    <hyperlink ref="AM302" r:id="rId301" xr:uid="{A4014555-A964-4C2B-B99C-326DFD62B92B}"/>
    <hyperlink ref="AM303" r:id="rId302" xr:uid="{12CA0B1D-9176-46AE-BF1E-3ED2EC23EEF6}"/>
    <hyperlink ref="AM304" r:id="rId303" xr:uid="{0200CAD1-AC20-46CE-AF22-BBAAC5E4925C}"/>
    <hyperlink ref="AM305" r:id="rId304" xr:uid="{12C128F1-8F2D-4D26-A00D-07B4D5FFFBCD}"/>
    <hyperlink ref="AM306" r:id="rId305" xr:uid="{5DFECC79-7E4E-45C2-9711-B13C4163EBB0}"/>
    <hyperlink ref="AM307" r:id="rId306" xr:uid="{AB0B9C68-733E-49B5-86B4-8A922CBAEE05}"/>
    <hyperlink ref="AM308" r:id="rId307" xr:uid="{137F50F9-53A6-45AC-9AF0-D2714799CE95}"/>
    <hyperlink ref="AM309" r:id="rId308" xr:uid="{828C3BA3-4DCE-4AAF-A319-82672A09B9E5}"/>
    <hyperlink ref="AM310" r:id="rId309" xr:uid="{DBFB80F4-048B-4529-8D18-2ED1943D06E9}"/>
    <hyperlink ref="AM311" r:id="rId310" xr:uid="{B428637A-8F06-456B-BC20-E94D957AD5A6}"/>
    <hyperlink ref="AM312" r:id="rId311" xr:uid="{1C52B4E3-E5E3-4307-8954-23A1A72A000F}"/>
    <hyperlink ref="AM313" r:id="rId312" xr:uid="{60FE3795-0D07-4C00-9A9F-979A0F034C5B}"/>
    <hyperlink ref="AM314" r:id="rId313" xr:uid="{E266BBF7-57E3-4246-A1A6-1B34557B0044}"/>
    <hyperlink ref="AM315" r:id="rId314" xr:uid="{D8CCEA3B-9A4D-4535-8951-C754C4ACAD9C}"/>
    <hyperlink ref="AM316" r:id="rId315" xr:uid="{1B5B4A76-533E-4AC2-A09C-2B599A6E04BF}"/>
    <hyperlink ref="AM317" r:id="rId316" xr:uid="{3B64924F-843C-43D2-AF4D-32A7C3677CAF}"/>
    <hyperlink ref="AM318" r:id="rId317" xr:uid="{E316951D-C9D5-49A3-82D2-DA43CF615A30}"/>
    <hyperlink ref="AM319" r:id="rId318" xr:uid="{EC33094C-E2F3-4279-A31F-8F46604FA5E3}"/>
    <hyperlink ref="AM320" r:id="rId319" xr:uid="{AB0A89AB-6737-4DA2-B297-F35F8374B35D}"/>
    <hyperlink ref="AM321" r:id="rId320" xr:uid="{B847647C-9DBF-49BF-91B0-7E146BCDCC46}"/>
    <hyperlink ref="AM322" r:id="rId321" xr:uid="{49FDFF38-7436-46B6-B982-2A5302B4BFC5}"/>
    <hyperlink ref="AM323" r:id="rId322" xr:uid="{9D2589D8-EB07-491D-B901-CF8DE582077D}"/>
    <hyperlink ref="AM324" r:id="rId323" xr:uid="{BF306E0B-9AB7-433A-B2DB-EE5DCF1A23F3}"/>
    <hyperlink ref="AM325" r:id="rId324" xr:uid="{EE7B204A-4FB1-426B-A7C3-7FEDADE52FC1}"/>
    <hyperlink ref="AM326" r:id="rId325" xr:uid="{C3A53FCE-C39D-4C3B-9D21-6DA050D711BF}"/>
    <hyperlink ref="AM327" r:id="rId326" xr:uid="{F1E3D6E7-6BCA-440F-ADC9-A2D61E560D0F}"/>
    <hyperlink ref="AM328" r:id="rId327" xr:uid="{E2185C58-E56F-4BF6-8B83-60DA5C4BF1D3}"/>
    <hyperlink ref="AM329" r:id="rId328" xr:uid="{F62635DA-7921-4758-A065-FBCAF490C7B4}"/>
    <hyperlink ref="AM330" r:id="rId329" xr:uid="{632B2DA8-EB7A-4A58-9D2B-B5E48AC357B8}"/>
    <hyperlink ref="AM331" r:id="rId330" xr:uid="{E1A7FAA4-E9DA-47F3-90B3-2EBEFFED0736}"/>
    <hyperlink ref="AM332" r:id="rId331" xr:uid="{7EA0D00E-FB2B-43E9-92A1-9308BE5E09DD}"/>
    <hyperlink ref="AM333" r:id="rId332" xr:uid="{8E1F7050-E423-4919-8498-6CDEDAAB647C}"/>
    <hyperlink ref="AM334" r:id="rId333" xr:uid="{9940950A-C966-459D-A3AC-32724F0CF6A4}"/>
    <hyperlink ref="AM335" r:id="rId334" xr:uid="{5BA78CC5-1B0C-4BE4-B88F-D551999638B8}"/>
    <hyperlink ref="AM336" r:id="rId335" xr:uid="{5C988A10-9FD4-45F5-8DBC-6DDA1B2DBE42}"/>
    <hyperlink ref="AM337" r:id="rId336" xr:uid="{5785DA39-4226-4F2C-A87D-6B351685B77E}"/>
    <hyperlink ref="AM338" r:id="rId337" xr:uid="{F6167155-1E37-4D97-9924-7CA69757FA32}"/>
    <hyperlink ref="AM339" r:id="rId338" xr:uid="{938E036A-2E49-43D4-8BEF-14EAA9EA8794}"/>
    <hyperlink ref="AM340" r:id="rId339" xr:uid="{0A424BE6-9B60-4E2F-B713-DD02E48B6364}"/>
    <hyperlink ref="AM341" r:id="rId340" xr:uid="{F075FC16-6FA5-4429-9A4A-315DF8AEE472}"/>
    <hyperlink ref="AM342" r:id="rId341" xr:uid="{224DAEDF-A092-4092-B5FB-1138920ECC09}"/>
    <hyperlink ref="AM343" r:id="rId342" xr:uid="{0CB845D0-B467-4E64-B97C-1175549268F7}"/>
    <hyperlink ref="AM344" r:id="rId343" xr:uid="{19CEDE72-3C03-4778-B2B4-83765697B99E}"/>
    <hyperlink ref="AM345" r:id="rId344" xr:uid="{7B7E990A-D037-43AD-A1CB-A369B9250310}"/>
    <hyperlink ref="AM346" r:id="rId345" xr:uid="{6DD2F3E6-C119-41E2-9F7F-6482CCA789A5}"/>
    <hyperlink ref="AM347" r:id="rId346" xr:uid="{FAF1D157-38EC-4367-BDFE-F311C6AF4B30}"/>
    <hyperlink ref="AM348" r:id="rId347" xr:uid="{63C68133-1EDF-4AA2-A698-BDB45613B9E6}"/>
    <hyperlink ref="AM349" r:id="rId348" xr:uid="{70B0E4C3-AAF0-43A7-984D-EB2C224D2EDE}"/>
    <hyperlink ref="AM350" r:id="rId349" xr:uid="{3860C955-78D0-455D-8F9E-4672FBEEC028}"/>
    <hyperlink ref="AM351" r:id="rId350" xr:uid="{471B1547-DFA4-4215-A8F5-B3469F0BDBFE}"/>
    <hyperlink ref="AM352" r:id="rId351" xr:uid="{1FD24F98-C2A6-4B5A-89F5-4A6487922834}"/>
    <hyperlink ref="AM353" r:id="rId352" xr:uid="{73D44696-148A-4D3C-A622-1738660B657B}"/>
    <hyperlink ref="AM354" r:id="rId353" xr:uid="{A50A0049-20EA-4B74-B946-7083B3A1D861}"/>
    <hyperlink ref="AM355" r:id="rId354" xr:uid="{52309E0C-CF00-4FEC-AA3E-71698E867BA6}"/>
    <hyperlink ref="AM356" r:id="rId355" xr:uid="{0FC477DC-F274-43F5-892C-8C31897B9058}"/>
    <hyperlink ref="AM357" r:id="rId356" xr:uid="{2A025D78-F80B-4104-8E86-8E767390D538}"/>
    <hyperlink ref="AM358" r:id="rId357" xr:uid="{570EFFC8-8496-4735-A850-90663550D445}"/>
    <hyperlink ref="AM359" r:id="rId358" xr:uid="{E4BB4097-1E2D-4475-AC32-975BF7C625E4}"/>
    <hyperlink ref="AM360" r:id="rId359" xr:uid="{B8779A6F-25D7-43CE-8F06-04CBDAA720D5}"/>
    <hyperlink ref="AM361" r:id="rId360" xr:uid="{3AE5F68B-DBEF-4269-9E4C-E07D12ADB3DB}"/>
    <hyperlink ref="AM362" r:id="rId361" xr:uid="{BA9C036D-7697-4DC2-BCC9-F09B36E1FC73}"/>
    <hyperlink ref="AM363" r:id="rId362" xr:uid="{30E19A17-81A3-4307-A639-CD0674A99564}"/>
    <hyperlink ref="AM364" r:id="rId363" xr:uid="{FB227DE4-5B26-4C8A-A20F-91608880291A}"/>
    <hyperlink ref="AM365" r:id="rId364" xr:uid="{463A2883-8F77-425F-893F-1A4AB70CFDE8}"/>
    <hyperlink ref="AM366" r:id="rId365" xr:uid="{1A418191-2A4B-402C-B507-4ADF6DBF78E4}"/>
    <hyperlink ref="AM367" r:id="rId366" xr:uid="{373FAD22-0479-4AA6-BD15-1999C76853FE}"/>
    <hyperlink ref="AM368" r:id="rId367" xr:uid="{E4F1A044-7499-43CF-9B1C-EF9F360A9ACA}"/>
    <hyperlink ref="AM369" r:id="rId368" xr:uid="{00378F96-A4C8-4AB4-8750-9607E0C96037}"/>
    <hyperlink ref="AM370" r:id="rId369" xr:uid="{68B6ECFC-85FD-4781-822D-84EA22CFBC37}"/>
    <hyperlink ref="AM371" r:id="rId370" xr:uid="{0EC52E13-0766-4EEB-B3F7-49AA7D2E78ED}"/>
    <hyperlink ref="AM372" r:id="rId371" xr:uid="{1C37A755-809A-48C8-B2B0-61E460E3CF1A}"/>
    <hyperlink ref="AM373" r:id="rId372" xr:uid="{D35CDAFD-BA3C-41F6-8327-CF61DC87BEF5}"/>
    <hyperlink ref="AM374" r:id="rId373" xr:uid="{F067C9A8-9473-497A-94A2-CFB9A27CBF52}"/>
    <hyperlink ref="AM375" r:id="rId374" xr:uid="{2FA9BCCD-F14A-484D-A5E2-7476244B0EF5}"/>
    <hyperlink ref="AM376" r:id="rId375" xr:uid="{11E9A020-37AC-476A-98AB-68658C9F7FEA}"/>
    <hyperlink ref="AM377" r:id="rId376" xr:uid="{FDE1EC7D-4C67-486A-8B2C-07652F64D485}"/>
    <hyperlink ref="AM378" r:id="rId377" xr:uid="{5C5D0E05-7DE6-4AD3-8677-84B2451BC823}"/>
    <hyperlink ref="AM379" r:id="rId378" xr:uid="{04C67D8F-CF62-4782-80AB-387BAC81295F}"/>
    <hyperlink ref="AM380" r:id="rId379" xr:uid="{A8696584-6144-4E6E-8EA6-C67DE2D5D2D5}"/>
    <hyperlink ref="AM381" r:id="rId380" xr:uid="{3111A6E6-A0DB-47FA-A3EC-3732B9FB10EF}"/>
    <hyperlink ref="AM382" r:id="rId381" xr:uid="{A44BE876-01E8-42E3-B351-7D40955DAAC1}"/>
    <hyperlink ref="AM383" r:id="rId382" xr:uid="{C0C24869-80B1-49F4-8462-1B9A3BEFDD07}"/>
    <hyperlink ref="AM384" r:id="rId383" xr:uid="{30D2A1E3-C49A-492A-BBE9-BAB5919387E5}"/>
    <hyperlink ref="AM385" r:id="rId384" xr:uid="{F7607EDE-1DD9-4A2B-8208-516FAFFF78F7}"/>
    <hyperlink ref="AM386" r:id="rId385" xr:uid="{2A52EE3B-6D4F-4586-B66F-FC910BFCCB62}"/>
    <hyperlink ref="AM387" r:id="rId386" xr:uid="{A36B2310-BE7E-49E7-B137-5A5F017014CE}"/>
    <hyperlink ref="AM388" r:id="rId387" xr:uid="{A57B8A8D-04E9-4C79-A7DD-84E21C6A77E8}"/>
    <hyperlink ref="AM389" r:id="rId388" xr:uid="{AD685A0E-E790-4062-9152-0EB7F2F5AE4A}"/>
    <hyperlink ref="AM390" r:id="rId389" xr:uid="{F816A818-657E-4ADD-A744-C1E21AEFD521}"/>
    <hyperlink ref="AM391" r:id="rId390" xr:uid="{B67FC150-1978-4383-BD43-0D5EC374C496}"/>
    <hyperlink ref="AM392" r:id="rId391" xr:uid="{71061D96-D8BE-4AC4-890F-0B5F96A1862E}"/>
    <hyperlink ref="AM393" r:id="rId392" xr:uid="{6AFE13E6-EF38-4CCB-B190-A91750AB2CA3}"/>
    <hyperlink ref="AM394" r:id="rId393" xr:uid="{3B2BE10C-3A6D-4086-9981-E59D99EB4172}"/>
    <hyperlink ref="AM395" r:id="rId394" xr:uid="{5E5C9229-FF0E-4C55-A760-10A98E8B2E76}"/>
    <hyperlink ref="AM396" r:id="rId395" xr:uid="{112A104F-F926-46D9-964B-40F6A8C43F2D}"/>
    <hyperlink ref="AM397" r:id="rId396" xr:uid="{F32FAD15-7652-4481-821E-7F6316122EFA}"/>
    <hyperlink ref="AM398" r:id="rId397" xr:uid="{A8FABA43-7669-4DDB-8922-E710FAACDD80}"/>
    <hyperlink ref="AM399" r:id="rId398" xr:uid="{9428F0F5-C1E9-4CA5-B4DC-D2B45F60CAB2}"/>
    <hyperlink ref="AM400" r:id="rId399" xr:uid="{3E0D1D96-E43D-499F-9513-C3374659A4D5}"/>
    <hyperlink ref="AM401" r:id="rId400" xr:uid="{6C17595D-9181-4F5D-B829-0A376D07A82F}"/>
    <hyperlink ref="AM402" r:id="rId401" xr:uid="{537D93DA-9675-414D-A5CF-F0446A64D588}"/>
    <hyperlink ref="AM403" r:id="rId402" xr:uid="{2CCAA30F-201C-4EBB-BD3F-C245D216BD39}"/>
    <hyperlink ref="AM404" r:id="rId403" xr:uid="{4B4A0BB3-19BB-4F0A-82B6-FAB9242370B5}"/>
    <hyperlink ref="AM405" r:id="rId404" xr:uid="{BA6781BA-D58C-4643-BE0B-CA6A3882A8F2}"/>
    <hyperlink ref="AM406" r:id="rId405" xr:uid="{1EDADA97-1EC1-41E1-A4BB-4F30BA1A1FCE}"/>
    <hyperlink ref="AM407" r:id="rId406" xr:uid="{2D6A1AE7-7655-40E7-9A88-66A443DDEFE7}"/>
    <hyperlink ref="AM408" r:id="rId407" xr:uid="{DBFDA063-C92E-46E9-AC77-9CA3B006BBFB}"/>
    <hyperlink ref="AM409" r:id="rId408" xr:uid="{77B3EE4D-E1B0-410A-8BA4-CDF8842B1945}"/>
    <hyperlink ref="AM410" r:id="rId409" xr:uid="{5F5BD660-7064-4E5D-97D2-5F949EB8B3F2}"/>
    <hyperlink ref="AM411" r:id="rId410" xr:uid="{A8A2344D-2546-4D7C-A0A2-D60ABED850B0}"/>
    <hyperlink ref="AM412" r:id="rId411" xr:uid="{76127F0B-7750-43FF-B11F-9704274A5642}"/>
    <hyperlink ref="AM413" r:id="rId412" xr:uid="{B846F2E1-8300-4D3D-93CB-7BA9847B880D}"/>
    <hyperlink ref="AM414" r:id="rId413" xr:uid="{929F55B5-1C38-4CCD-BA8D-933F2DF03023}"/>
    <hyperlink ref="AM415" r:id="rId414" xr:uid="{C5BB6970-4B25-46EB-8A17-11FBFD2F09B3}"/>
    <hyperlink ref="AM416" r:id="rId415" xr:uid="{09C84B94-9A9C-4773-9BE0-E785FEB71BC9}"/>
    <hyperlink ref="AM417" r:id="rId416" xr:uid="{BDB69FE7-AA14-432F-B61B-EF34ADBECA4F}"/>
    <hyperlink ref="AM418" r:id="rId417" xr:uid="{BE3EB862-E4C4-4830-8AD2-E28BF39A67B2}"/>
    <hyperlink ref="AM419" r:id="rId418" xr:uid="{B0BBCE37-8054-49EA-B4E6-94091A9698EB}"/>
    <hyperlink ref="AM420" r:id="rId419" xr:uid="{F335F05A-817B-436E-81D7-427C3CF0CE94}"/>
    <hyperlink ref="AM421" r:id="rId420" xr:uid="{23F42C19-325A-4AA1-9C49-CC053CD065C5}"/>
    <hyperlink ref="AM422" r:id="rId421" xr:uid="{CD37CA4B-7E58-4346-B8B7-12290F6241E7}"/>
    <hyperlink ref="AM423" r:id="rId422" xr:uid="{B91273E7-BD60-44F3-863D-D862BA4FE91D}"/>
    <hyperlink ref="AM424" r:id="rId423" xr:uid="{B337CD8A-9C58-4791-B00E-5B9238E73DA6}"/>
    <hyperlink ref="AM425" r:id="rId424" xr:uid="{2CD0897D-FDA1-469D-9559-41A2D2CA41FD}"/>
    <hyperlink ref="AM426" r:id="rId425" xr:uid="{D6A90F75-AC2A-4CCB-B617-EF3418D1F30F}"/>
    <hyperlink ref="AM427" r:id="rId426" xr:uid="{8CBE72EC-FEFC-4F04-923A-1C5DCA1348C7}"/>
    <hyperlink ref="AM428" r:id="rId427" xr:uid="{09D63910-B76B-4DB9-9E60-9D29EAD18710}"/>
    <hyperlink ref="AM429" r:id="rId428" xr:uid="{35EFCF29-B69C-4863-A77F-BD0AE805D811}"/>
    <hyperlink ref="AM430" r:id="rId429" xr:uid="{28FFE38C-99B5-4EC2-92BE-5DA395CDC24A}"/>
    <hyperlink ref="AM431" r:id="rId430" xr:uid="{C5FE7A67-CDA0-4146-A2A0-120840E04FA3}"/>
    <hyperlink ref="AM432" r:id="rId431" xr:uid="{309FFB55-87F5-4275-89CB-B13FB4826742}"/>
    <hyperlink ref="AM433" r:id="rId432" xr:uid="{425184EF-A93D-4066-9ABA-4C49A41FBC41}"/>
    <hyperlink ref="AM434" r:id="rId433" xr:uid="{A2BDFD84-4CFD-44B8-91F6-1F42E42EF8D6}"/>
    <hyperlink ref="AM435" r:id="rId434" xr:uid="{8CF58C79-B9FF-4A95-96E4-601F914A88F2}"/>
    <hyperlink ref="AM436" r:id="rId435" xr:uid="{341BF52F-83D5-4560-87F3-FC6C2139923B}"/>
    <hyperlink ref="AM437" r:id="rId436" xr:uid="{933891FE-4B4A-4600-A6EA-85D4E9D9DABF}"/>
    <hyperlink ref="AM438" r:id="rId437" xr:uid="{27A7ED3F-4D68-4A6C-93BD-78BA03E9D409}"/>
    <hyperlink ref="AM439" r:id="rId438" xr:uid="{5081D7DE-83F9-4788-90B4-3D52149E69D4}"/>
    <hyperlink ref="AM440" r:id="rId439" xr:uid="{8F5E0504-DE20-4B65-A79F-ACFBED2B3B33}"/>
    <hyperlink ref="AM441" r:id="rId440" xr:uid="{DE96A907-BEE3-454A-9096-232BF9DF1891}"/>
    <hyperlink ref="AM442" r:id="rId441" xr:uid="{5729B615-C036-4EEF-894C-E21C8A33BF98}"/>
    <hyperlink ref="AM443" r:id="rId442" xr:uid="{F0081C66-82B6-48FF-BC9B-1BF91509E0F7}"/>
    <hyperlink ref="AM444" r:id="rId443" xr:uid="{4CE7B819-628B-4AFC-9427-BDA0D7D79681}"/>
    <hyperlink ref="AM445" r:id="rId444" xr:uid="{87580E00-21EA-4685-A4E9-CD37E89C9514}"/>
    <hyperlink ref="AM446" r:id="rId445" xr:uid="{EF655CA7-E3F4-4427-9EBB-C661E8ACB377}"/>
    <hyperlink ref="AM447" r:id="rId446" xr:uid="{CCED95F4-28F9-4BD7-B148-B94FD2B07190}"/>
    <hyperlink ref="AM448" r:id="rId447" xr:uid="{007B5709-AF36-4CC6-94FE-CEF29BA901F8}"/>
    <hyperlink ref="AM449" r:id="rId448" xr:uid="{72B18D95-58B9-4763-AB60-92AFEF4D0152}"/>
    <hyperlink ref="AM450" r:id="rId449" xr:uid="{D336B724-6228-4DA1-B0C5-8EF317390E0D}"/>
    <hyperlink ref="AM451" r:id="rId450" xr:uid="{D6456C99-6552-47D3-8E92-99894DD29F12}"/>
    <hyperlink ref="AM452" r:id="rId451" xr:uid="{6204AFE9-0608-4493-B7AB-643EE96F1A42}"/>
    <hyperlink ref="AM453" r:id="rId452" xr:uid="{8FA7FB70-E1D5-455B-B90D-A8208DF67816}"/>
    <hyperlink ref="AM454" r:id="rId453" xr:uid="{A92D06FC-0555-4870-A53D-9F17D71256B7}"/>
  </hyperlinks>
  <pageMargins left="0.7" right="0.7" top="0.75" bottom="0.75" header="0.3" footer="0.3"/>
  <drawing r:id="rId454"/>
  <legacyDrawing r:id="rId45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56" name="Button 1">
              <controlPr defaultSize="0" print="0" autoFill="0" autoPict="0" macro="[0]!Make_KakaoLink_AM">
                <anchor moveWithCells="1" sizeWithCells="1">
                  <from>
                    <xdr:col>46</xdr:col>
                    <xdr:colOff>0</xdr:colOff>
                    <xdr:row>0</xdr:row>
                    <xdr:rowOff>0</xdr:rowOff>
                  </from>
                  <to>
                    <xdr:col>48</xdr:col>
                    <xdr:colOff>628650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거래사례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a12593</dc:creator>
  <cp:lastModifiedBy>h80494@gmail.com</cp:lastModifiedBy>
  <dcterms:created xsi:type="dcterms:W3CDTF">2026-01-14T09:01:51Z</dcterms:created>
  <dcterms:modified xsi:type="dcterms:W3CDTF">2026-10-02T12:36:43Z</dcterms:modified>
</cp:coreProperties>
</file>